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041740E-A276-4828-9944-4530061AB66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Financial Report" sheetId="1" r:id="rId1"/>
    <sheet name="System Data" sheetId="2" r:id="rId2"/>
    <sheet name="Setup &amp; Guide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4" l="1"/>
  <c r="B10" i="4" s="1"/>
  <c r="C9" i="4"/>
  <c r="B9" i="4" s="1"/>
  <c r="O55" i="2"/>
  <c r="N55" i="2"/>
  <c r="M55" i="2"/>
  <c r="L55" i="2"/>
  <c r="K55" i="2"/>
  <c r="O54" i="2"/>
  <c r="N54" i="2"/>
  <c r="M54" i="2"/>
  <c r="L54" i="2"/>
  <c r="K54" i="2"/>
  <c r="O53" i="2"/>
  <c r="N53" i="2"/>
  <c r="M53" i="2"/>
  <c r="L53" i="2"/>
  <c r="K53" i="2"/>
  <c r="O52" i="2"/>
  <c r="N52" i="2"/>
  <c r="M52" i="2"/>
  <c r="L52" i="2"/>
  <c r="K52" i="2"/>
  <c r="O51" i="2"/>
  <c r="N51" i="2"/>
  <c r="M51" i="2"/>
  <c r="L51" i="2"/>
  <c r="K51" i="2"/>
  <c r="O50" i="2"/>
  <c r="N50" i="2"/>
  <c r="M50" i="2"/>
  <c r="L50" i="2"/>
  <c r="K50" i="2"/>
  <c r="O49" i="2"/>
  <c r="N49" i="2"/>
  <c r="M49" i="2"/>
  <c r="L49" i="2"/>
  <c r="K49" i="2"/>
  <c r="O48" i="2"/>
  <c r="N48" i="2"/>
  <c r="M48" i="2"/>
  <c r="L48" i="2"/>
  <c r="K48" i="2"/>
  <c r="O47" i="2"/>
  <c r="N47" i="2"/>
  <c r="M47" i="2"/>
  <c r="L47" i="2"/>
  <c r="K47" i="2"/>
  <c r="O46" i="2"/>
  <c r="N46" i="2"/>
  <c r="M46" i="2"/>
  <c r="L46" i="2"/>
  <c r="K46" i="2"/>
  <c r="O45" i="2"/>
  <c r="N45" i="2"/>
  <c r="M45" i="2"/>
  <c r="L45" i="2"/>
  <c r="K45" i="2"/>
  <c r="O44" i="2"/>
  <c r="N44" i="2"/>
  <c r="M44" i="2"/>
  <c r="L44" i="2"/>
  <c r="K44" i="2"/>
  <c r="O43" i="2"/>
  <c r="N43" i="2"/>
  <c r="M43" i="2"/>
  <c r="L43" i="2"/>
  <c r="K43" i="2"/>
  <c r="O42" i="2"/>
  <c r="N42" i="2"/>
  <c r="M42" i="2"/>
  <c r="L42" i="2"/>
  <c r="K42" i="2"/>
  <c r="O41" i="2"/>
  <c r="N41" i="2"/>
  <c r="M41" i="2"/>
  <c r="L41" i="2"/>
  <c r="K41" i="2"/>
  <c r="O40" i="2"/>
  <c r="N40" i="2"/>
  <c r="M40" i="2"/>
  <c r="L40" i="2"/>
  <c r="K40" i="2"/>
  <c r="O39" i="2"/>
  <c r="N39" i="2"/>
  <c r="M39" i="2"/>
  <c r="L39" i="2"/>
  <c r="K39" i="2"/>
  <c r="O38" i="2"/>
  <c r="N38" i="2"/>
  <c r="M38" i="2"/>
  <c r="L38" i="2"/>
  <c r="K38" i="2"/>
  <c r="O37" i="2"/>
  <c r="N37" i="2"/>
  <c r="M37" i="2"/>
  <c r="L37" i="2"/>
  <c r="K37" i="2"/>
  <c r="O36" i="2"/>
  <c r="N36" i="2"/>
  <c r="M36" i="2"/>
  <c r="L36" i="2"/>
  <c r="K36" i="2"/>
  <c r="O35" i="2"/>
  <c r="N35" i="2"/>
  <c r="M35" i="2"/>
  <c r="L35" i="2"/>
  <c r="K35" i="2"/>
  <c r="O34" i="2"/>
  <c r="N34" i="2"/>
  <c r="M34" i="2"/>
  <c r="L34" i="2"/>
  <c r="K34" i="2"/>
  <c r="O33" i="2"/>
  <c r="N33" i="2"/>
  <c r="M33" i="2"/>
  <c r="L33" i="2"/>
  <c r="K33" i="2"/>
  <c r="O32" i="2"/>
  <c r="N32" i="2"/>
  <c r="M32" i="2"/>
  <c r="L32" i="2"/>
  <c r="K32" i="2"/>
  <c r="O31" i="2"/>
  <c r="N31" i="2"/>
  <c r="M31" i="2"/>
  <c r="L31" i="2"/>
  <c r="K31" i="2"/>
  <c r="O30" i="2"/>
  <c r="N30" i="2"/>
  <c r="M30" i="2"/>
  <c r="L30" i="2"/>
  <c r="K30" i="2"/>
  <c r="O29" i="2"/>
  <c r="N29" i="2"/>
  <c r="M29" i="2"/>
  <c r="L29" i="2"/>
  <c r="K29" i="2"/>
  <c r="O28" i="2"/>
  <c r="N28" i="2"/>
  <c r="M28" i="2"/>
  <c r="L28" i="2"/>
  <c r="K28" i="2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L8" i="2"/>
  <c r="K8" i="2"/>
  <c r="G8" i="1" s="1"/>
  <c r="O7" i="2"/>
  <c r="N7" i="2"/>
  <c r="M7" i="2"/>
  <c r="L7" i="2"/>
  <c r="C6" i="1" s="1"/>
  <c r="C7" i="4" s="1"/>
  <c r="B7" i="4" s="1"/>
  <c r="K7" i="2"/>
  <c r="O6" i="2"/>
  <c r="L6" i="2"/>
  <c r="E12" i="1" s="1"/>
  <c r="K6" i="2"/>
  <c r="M6" i="2" s="1"/>
  <c r="G61" i="1"/>
  <c r="B61" i="1"/>
  <c r="A61" i="1"/>
  <c r="F61" i="1" s="1"/>
  <c r="G60" i="1"/>
  <c r="F60" i="1"/>
  <c r="E60" i="1"/>
  <c r="D60" i="1"/>
  <c r="C60" i="1"/>
  <c r="B60" i="1"/>
  <c r="A60" i="1"/>
  <c r="B59" i="1"/>
  <c r="A59" i="1"/>
  <c r="F59" i="1" s="1"/>
  <c r="G58" i="1"/>
  <c r="F58" i="1"/>
  <c r="E58" i="1"/>
  <c r="D58" i="1"/>
  <c r="A58" i="1"/>
  <c r="C58" i="1" s="1"/>
  <c r="D57" i="1"/>
  <c r="A57" i="1"/>
  <c r="G57" i="1" s="1"/>
  <c r="F56" i="1"/>
  <c r="A56" i="1"/>
  <c r="G56" i="1" s="1"/>
  <c r="A55" i="1"/>
  <c r="B55" i="1" s="1"/>
  <c r="A54" i="1"/>
  <c r="G54" i="1" s="1"/>
  <c r="G53" i="1"/>
  <c r="F53" i="1"/>
  <c r="E53" i="1"/>
  <c r="D53" i="1"/>
  <c r="C53" i="1"/>
  <c r="B53" i="1"/>
  <c r="A53" i="1"/>
  <c r="F52" i="1"/>
  <c r="E52" i="1"/>
  <c r="D52" i="1"/>
  <c r="C52" i="1"/>
  <c r="B52" i="1"/>
  <c r="A52" i="1"/>
  <c r="G52" i="1" s="1"/>
  <c r="G51" i="1"/>
  <c r="E51" i="1"/>
  <c r="A51" i="1"/>
  <c r="F51" i="1" s="1"/>
  <c r="G50" i="1"/>
  <c r="F50" i="1"/>
  <c r="E50" i="1"/>
  <c r="D50" i="1"/>
  <c r="B50" i="1"/>
  <c r="A50" i="1"/>
  <c r="C50" i="1" s="1"/>
  <c r="G49" i="1"/>
  <c r="B49" i="1"/>
  <c r="A49" i="1"/>
  <c r="F49" i="1" s="1"/>
  <c r="G48" i="1"/>
  <c r="F48" i="1"/>
  <c r="E48" i="1"/>
  <c r="D48" i="1"/>
  <c r="C48" i="1"/>
  <c r="B48" i="1"/>
  <c r="A48" i="1"/>
  <c r="B47" i="1"/>
  <c r="A47" i="1"/>
  <c r="E47" i="1" s="1"/>
  <c r="G46" i="1"/>
  <c r="F46" i="1"/>
  <c r="E46" i="1"/>
  <c r="D46" i="1"/>
  <c r="A46" i="1"/>
  <c r="C46" i="1" s="1"/>
  <c r="D45" i="1"/>
  <c r="A45" i="1"/>
  <c r="G45" i="1" s="1"/>
  <c r="F44" i="1"/>
  <c r="A44" i="1"/>
  <c r="G44" i="1" s="1"/>
  <c r="A43" i="1"/>
  <c r="B43" i="1" s="1"/>
  <c r="A42" i="1"/>
  <c r="G42" i="1" s="1"/>
  <c r="G41" i="1"/>
  <c r="F41" i="1"/>
  <c r="E41" i="1"/>
  <c r="D41" i="1"/>
  <c r="C41" i="1"/>
  <c r="A41" i="1"/>
  <c r="B41" i="1" s="1"/>
  <c r="F40" i="1"/>
  <c r="E40" i="1"/>
  <c r="D40" i="1"/>
  <c r="C40" i="1"/>
  <c r="B40" i="1"/>
  <c r="A40" i="1"/>
  <c r="G40" i="1" s="1"/>
  <c r="G39" i="1"/>
  <c r="E39" i="1"/>
  <c r="A39" i="1"/>
  <c r="F39" i="1" s="1"/>
  <c r="G38" i="1"/>
  <c r="F38" i="1"/>
  <c r="E38" i="1"/>
  <c r="D38" i="1"/>
  <c r="B38" i="1"/>
  <c r="A38" i="1"/>
  <c r="C38" i="1" s="1"/>
  <c r="G37" i="1"/>
  <c r="B37" i="1"/>
  <c r="A37" i="1"/>
  <c r="F37" i="1" s="1"/>
  <c r="G36" i="1"/>
  <c r="F36" i="1"/>
  <c r="E36" i="1"/>
  <c r="D36" i="1"/>
  <c r="C36" i="1"/>
  <c r="B36" i="1"/>
  <c r="A36" i="1"/>
  <c r="B35" i="1"/>
  <c r="A35" i="1"/>
  <c r="E35" i="1" s="1"/>
  <c r="G34" i="1"/>
  <c r="F34" i="1"/>
  <c r="E34" i="1"/>
  <c r="D34" i="1"/>
  <c r="A34" i="1"/>
  <c r="C34" i="1" s="1"/>
  <c r="D33" i="1"/>
  <c r="A33" i="1"/>
  <c r="G33" i="1" s="1"/>
  <c r="F32" i="1"/>
  <c r="A32" i="1"/>
  <c r="G32" i="1" s="1"/>
  <c r="A31" i="1"/>
  <c r="B31" i="1" s="1"/>
  <c r="A30" i="1"/>
  <c r="G30" i="1" s="1"/>
  <c r="G29" i="1"/>
  <c r="F29" i="1"/>
  <c r="E29" i="1"/>
  <c r="D29" i="1"/>
  <c r="C29" i="1"/>
  <c r="A29" i="1"/>
  <c r="B29" i="1" s="1"/>
  <c r="F28" i="1"/>
  <c r="E28" i="1"/>
  <c r="D28" i="1"/>
  <c r="C28" i="1"/>
  <c r="B28" i="1"/>
  <c r="A28" i="1"/>
  <c r="G28" i="1" s="1"/>
  <c r="G27" i="1"/>
  <c r="E27" i="1"/>
  <c r="A27" i="1"/>
  <c r="F27" i="1" s="1"/>
  <c r="G26" i="1"/>
  <c r="F26" i="1"/>
  <c r="E26" i="1"/>
  <c r="D26" i="1"/>
  <c r="B26" i="1"/>
  <c r="A26" i="1"/>
  <c r="C26" i="1" s="1"/>
  <c r="G25" i="1"/>
  <c r="B25" i="1"/>
  <c r="A25" i="1"/>
  <c r="F25" i="1" s="1"/>
  <c r="G24" i="1"/>
  <c r="F24" i="1"/>
  <c r="E24" i="1"/>
  <c r="D24" i="1"/>
  <c r="C24" i="1"/>
  <c r="B24" i="1"/>
  <c r="A24" i="1"/>
  <c r="B23" i="1"/>
  <c r="A23" i="1"/>
  <c r="F23" i="1" s="1"/>
  <c r="G22" i="1"/>
  <c r="F22" i="1"/>
  <c r="E22" i="1"/>
  <c r="D22" i="1"/>
  <c r="A22" i="1"/>
  <c r="C22" i="1" s="1"/>
  <c r="D21" i="1"/>
  <c r="A21" i="1"/>
  <c r="F21" i="1" s="1"/>
  <c r="F20" i="1"/>
  <c r="A20" i="1"/>
  <c r="G20" i="1" s="1"/>
  <c r="A19" i="1"/>
  <c r="B19" i="1" s="1"/>
  <c r="A18" i="1"/>
  <c r="G18" i="1" s="1"/>
  <c r="G17" i="1"/>
  <c r="F17" i="1"/>
  <c r="E17" i="1"/>
  <c r="D17" i="1"/>
  <c r="C17" i="1"/>
  <c r="A17" i="1"/>
  <c r="B17" i="1" s="1"/>
  <c r="F16" i="1"/>
  <c r="E16" i="1"/>
  <c r="D16" i="1"/>
  <c r="C16" i="1"/>
  <c r="B16" i="1"/>
  <c r="A16" i="1"/>
  <c r="G16" i="1" s="1"/>
  <c r="G15" i="1"/>
  <c r="F15" i="1"/>
  <c r="E15" i="1"/>
  <c r="A15" i="1"/>
  <c r="D15" i="1" s="1"/>
  <c r="F14" i="1"/>
  <c r="E14" i="1"/>
  <c r="D14" i="1"/>
  <c r="B14" i="1"/>
  <c r="A14" i="1"/>
  <c r="C14" i="1" s="1"/>
  <c r="G13" i="1"/>
  <c r="B13" i="1"/>
  <c r="A13" i="1"/>
  <c r="F13" i="1" s="1"/>
  <c r="F12" i="1"/>
  <c r="D12" i="1"/>
  <c r="C12" i="1"/>
  <c r="B12" i="1"/>
  <c r="A12" i="1"/>
  <c r="F10" i="1"/>
  <c r="A6" i="1"/>
  <c r="B8" i="1" s="1"/>
  <c r="F3" i="1"/>
  <c r="F2" i="1"/>
  <c r="A2" i="1"/>
  <c r="N6" i="2" l="1"/>
  <c r="G12" i="1" s="1"/>
  <c r="C19" i="1"/>
  <c r="C31" i="1"/>
  <c r="C43" i="1"/>
  <c r="C55" i="1"/>
  <c r="D19" i="1"/>
  <c r="B21" i="1"/>
  <c r="D31" i="1"/>
  <c r="B33" i="1"/>
  <c r="D43" i="1"/>
  <c r="B45" i="1"/>
  <c r="D55" i="1"/>
  <c r="B57" i="1"/>
  <c r="E19" i="1"/>
  <c r="C21" i="1"/>
  <c r="E31" i="1"/>
  <c r="C33" i="1"/>
  <c r="E43" i="1"/>
  <c r="C45" i="1"/>
  <c r="E55" i="1"/>
  <c r="C57" i="1"/>
  <c r="F31" i="1"/>
  <c r="B18" i="1"/>
  <c r="G19" i="1"/>
  <c r="E21" i="1"/>
  <c r="C23" i="1"/>
  <c r="B30" i="1"/>
  <c r="G31" i="1"/>
  <c r="E33" i="1"/>
  <c r="C35" i="1"/>
  <c r="B42" i="1"/>
  <c r="G43" i="1"/>
  <c r="E45" i="1"/>
  <c r="C47" i="1"/>
  <c r="B54" i="1"/>
  <c r="G55" i="1"/>
  <c r="E57" i="1"/>
  <c r="C59" i="1"/>
  <c r="M8" i="2"/>
  <c r="N8" i="2" s="1"/>
  <c r="G14" i="1" s="1"/>
  <c r="C6" i="4"/>
  <c r="B6" i="4" s="1"/>
  <c r="C18" i="1"/>
  <c r="D23" i="1"/>
  <c r="C30" i="1"/>
  <c r="F33" i="1"/>
  <c r="D18" i="1"/>
  <c r="G21" i="1"/>
  <c r="D42" i="1"/>
  <c r="E59" i="1"/>
  <c r="E54" i="1"/>
  <c r="D35" i="1"/>
  <c r="C42" i="1"/>
  <c r="F45" i="1"/>
  <c r="C54" i="1"/>
  <c r="B15" i="1"/>
  <c r="B62" i="1" s="1"/>
  <c r="D25" i="1"/>
  <c r="B27" i="1"/>
  <c r="E30" i="1"/>
  <c r="C32" i="1"/>
  <c r="F35" i="1"/>
  <c r="D37" i="1"/>
  <c r="B39" i="1"/>
  <c r="E42" i="1"/>
  <c r="C44" i="1"/>
  <c r="F47" i="1"/>
  <c r="B51" i="1"/>
  <c r="D61" i="1"/>
  <c r="E13" i="1"/>
  <c r="E62" i="1" s="1"/>
  <c r="C15" i="1"/>
  <c r="F18" i="1"/>
  <c r="F62" i="1" s="1"/>
  <c r="D20" i="1"/>
  <c r="B22" i="1"/>
  <c r="G23" i="1"/>
  <c r="E25" i="1"/>
  <c r="C27" i="1"/>
  <c r="F30" i="1"/>
  <c r="D32" i="1"/>
  <c r="B34" i="1"/>
  <c r="G35" i="1"/>
  <c r="E37" i="1"/>
  <c r="C39" i="1"/>
  <c r="F42" i="1"/>
  <c r="D44" i="1"/>
  <c r="B46" i="1"/>
  <c r="G47" i="1"/>
  <c r="E49" i="1"/>
  <c r="C51" i="1"/>
  <c r="F54" i="1"/>
  <c r="D56" i="1"/>
  <c r="B58" i="1"/>
  <c r="G59" i="1"/>
  <c r="E61" i="1"/>
  <c r="F19" i="1"/>
  <c r="F43" i="1"/>
  <c r="F55" i="1"/>
  <c r="D47" i="1"/>
  <c r="F57" i="1"/>
  <c r="D59" i="1"/>
  <c r="C13" i="1"/>
  <c r="B20" i="1"/>
  <c r="E23" i="1"/>
  <c r="C25" i="1"/>
  <c r="D30" i="1"/>
  <c r="B32" i="1"/>
  <c r="C37" i="1"/>
  <c r="B44" i="1"/>
  <c r="C49" i="1"/>
  <c r="D54" i="1"/>
  <c r="B56" i="1"/>
  <c r="C61" i="1"/>
  <c r="D13" i="1"/>
  <c r="D62" i="1" s="1"/>
  <c r="G62" i="1" s="1"/>
  <c r="E18" i="1"/>
  <c r="C20" i="1"/>
  <c r="D49" i="1"/>
  <c r="C56" i="1"/>
  <c r="E20" i="1"/>
  <c r="D27" i="1"/>
  <c r="E32" i="1"/>
  <c r="D39" i="1"/>
  <c r="E44" i="1"/>
  <c r="D51" i="1"/>
  <c r="E56" i="1"/>
  <c r="B3" i="4" l="1"/>
  <c r="E6" i="1"/>
  <c r="C8" i="4" s="1"/>
  <c r="B8" i="4" s="1"/>
</calcChain>
</file>

<file path=xl/sharedStrings.xml><?xml version="1.0" encoding="utf-8"?>
<sst xmlns="http://schemas.openxmlformats.org/spreadsheetml/2006/main" count="143" uniqueCount="126">
  <si>
    <t>Financial Reports</t>
  </si>
  <si>
    <t>Formula-driven monthly inventory and sales performance</t>
  </si>
  <si>
    <t>PRODUCT GROSS MARGIN  ✓</t>
  </si>
  <si>
    <t>Growth vs previous month</t>
  </si>
  <si>
    <t>South African Revenue Service output tax</t>
  </si>
  <si>
    <t>Weighted average unit price</t>
  </si>
  <si>
    <t>Product Revenue Breakdown</t>
  </si>
  <si>
    <t>PRODUCT</t>
  </si>
  <si>
    <t>UNITS SOLD</t>
  </si>
  <si>
    <t>UNIT PRICE (ZAR)</t>
  </si>
  <si>
    <t>REVENUE (ZAR)</t>
  </si>
  <si>
    <t>15% VAT (ZAR)</t>
  </si>
  <si>
    <t>CLOSING STOCK</t>
  </si>
  <si>
    <t>GROSS MARGIN %</t>
  </si>
  <si>
    <t>TOTAL</t>
  </si>
  <si>
    <t>Template note: VAT is calculated as revenue × the configured VAT rate, matching the supplied report design. Unit prices are treated as VAT-exclusive.</t>
  </si>
  <si>
    <t>SYSTEM DATA INPUT</t>
  </si>
  <si>
    <t>Your system should write only to blue columns A:J. Columns K:O calculate automatically.</t>
  </si>
  <si>
    <t>INPUT FIELDS</t>
  </si>
  <si>
    <t>CALCULATED FIELDS - DO NOT OVERWRITE</t>
  </si>
  <si>
    <t>SKU</t>
  </si>
  <si>
    <t>Product Name</t>
  </si>
  <si>
    <t>Category / Product Line</t>
  </si>
  <si>
    <t>Unit Label</t>
  </si>
  <si>
    <t>Opening Stock</t>
  </si>
  <si>
    <t>Units Manufactured</t>
  </si>
  <si>
    <t>Units Sold</t>
  </si>
  <si>
    <t>Stock Adjustments</t>
  </si>
  <si>
    <t>Unit Price (ZAR)</t>
  </si>
  <si>
    <t>Unit Cost (ZAR)</t>
  </si>
  <si>
    <t>Revenue (ZAR)</t>
  </si>
  <si>
    <t>VAT (ZAR)</t>
  </si>
  <si>
    <t>Gross Profit (ZAR)</t>
  </si>
  <si>
    <t>Gross Margin %</t>
  </si>
  <si>
    <t>Closing Stock</t>
  </si>
  <si>
    <t>2L-DWL</t>
  </si>
  <si>
    <t>2L Dish Washing Liquid</t>
  </si>
  <si>
    <t>2L Detergent Line</t>
  </si>
  <si>
    <t>bottles</t>
  </si>
  <si>
    <t>2L-PGC</t>
  </si>
  <si>
    <t>2L Pine Gel Concentrated Cleaner</t>
  </si>
  <si>
    <t>2L-MPC</t>
  </si>
  <si>
    <t>2L Multi-Purpose Surface Cleaner</t>
  </si>
  <si>
    <t>REPORT CONFIGURATION &amp; SYSTEM GUIDE</t>
  </si>
  <si>
    <t>Company Name</t>
  </si>
  <si>
    <t>Rulership LTD PTY</t>
  </si>
  <si>
    <t>Business Description</t>
  </si>
  <si>
    <t>2L Detergent Manufacturing &amp; Retail Sales</t>
  </si>
  <si>
    <t>Facility / Branch</t>
  </si>
  <si>
    <t>Sakhile Ext7 Facility</t>
  </si>
  <si>
    <t>Report Period</t>
  </si>
  <si>
    <t>VAT Rate</t>
  </si>
  <si>
    <t>Previous Month Revenue</t>
  </si>
  <si>
    <t>Template Capacity</t>
  </si>
  <si>
    <t>50 product rows per generated report</t>
  </si>
  <si>
    <t>SYSTEM FIELD MAPPING</t>
  </si>
  <si>
    <t>Target Cell / Column</t>
  </si>
  <si>
    <t>System Field</t>
  </si>
  <si>
    <t>Required</t>
  </si>
  <si>
    <t>Purpose</t>
  </si>
  <si>
    <t>Setup &amp; Guide!B3</t>
  </si>
  <si>
    <t>company_name</t>
  </si>
  <si>
    <t>Yes</t>
  </si>
  <si>
    <t>Company name displayed on the report</t>
  </si>
  <si>
    <t>Setup &amp; Guide!B4</t>
  </si>
  <si>
    <t>business_description</t>
  </si>
  <si>
    <t>No</t>
  </si>
  <si>
    <t>Report subtitle</t>
  </si>
  <si>
    <t>Setup &amp; Guide!B5</t>
  </si>
  <si>
    <t>facility</t>
  </si>
  <si>
    <t>Branch or production facility</t>
  </si>
  <si>
    <t>Setup &amp; Guide!B6</t>
  </si>
  <si>
    <t>report_period</t>
  </si>
  <si>
    <t>Use an Excel date value</t>
  </si>
  <si>
    <t>Setup &amp; Guide!B7</t>
  </si>
  <si>
    <t>vat_rate</t>
  </si>
  <si>
    <t>Decimal rate, for example 0.15</t>
  </si>
  <si>
    <t>Setup &amp; Guide!B8</t>
  </si>
  <si>
    <t>previous_month_revenue</t>
  </si>
  <si>
    <t>Used for the growth KPI</t>
  </si>
  <si>
    <t>System Data!A6:A55</t>
  </si>
  <si>
    <t>sku</t>
  </si>
  <si>
    <t>Unique product code</t>
  </si>
  <si>
    <t>System Data!B6:B55</t>
  </si>
  <si>
    <t>product_name</t>
  </si>
  <si>
    <t>Product displayed in the report</t>
  </si>
  <si>
    <t>System Data!C6:C55</t>
  </si>
  <si>
    <t>category</t>
  </si>
  <si>
    <t>Product line or category</t>
  </si>
  <si>
    <t>System Data!D6:D55</t>
  </si>
  <si>
    <t>unit_label</t>
  </si>
  <si>
    <t>Bottle, box, pack, unit, etc.</t>
  </si>
  <si>
    <t>System Data!E6:E55</t>
  </si>
  <si>
    <t>opening_stock</t>
  </si>
  <si>
    <t>Stock at the start of the period</t>
  </si>
  <si>
    <t>System Data!F6:F55</t>
  </si>
  <si>
    <t>units_manufactured</t>
  </si>
  <si>
    <t>Units produced during the period</t>
  </si>
  <si>
    <t>System Data!G6:G55</t>
  </si>
  <si>
    <t>units_sold</t>
  </si>
  <si>
    <t>Units sold during the period</t>
  </si>
  <si>
    <t>System Data!H6:H55</t>
  </si>
  <si>
    <t>stock_adjustments</t>
  </si>
  <si>
    <t>Returns, damage, or count adjustments</t>
  </si>
  <si>
    <t>System Data!I6:J55</t>
  </si>
  <si>
    <t>unit_price / unit_cost</t>
  </si>
  <si>
    <t>Prices excluding VAT and unit cost</t>
  </si>
  <si>
    <t>How to use: update the blue configuration cells, write product inputs into System Data columns A:J, keep columns K:O as formulas, then export the Financial Report sheet or the full workbook.</t>
  </si>
  <si>
    <t>MODEL CHECKS</t>
  </si>
  <si>
    <t>MODEL STATUS</t>
  </si>
  <si>
    <t>Check</t>
  </si>
  <si>
    <t>Status</t>
  </si>
  <si>
    <t>Delta / Count</t>
  </si>
  <si>
    <t>Action</t>
  </si>
  <si>
    <t>Revenue reconciles</t>
  </si>
  <si>
    <t>Report total must equal product revenue</t>
  </si>
  <si>
    <t>VAT reconciles</t>
  </si>
  <si>
    <t>Report VAT must equal product VAT</t>
  </si>
  <si>
    <t>Gross margin reconciles</t>
  </si>
  <si>
    <t>Headline margin must equal weighted product margin</t>
  </si>
  <si>
    <t>No negative closing stock</t>
  </si>
  <si>
    <t>Review opening stock, production, sales, and adjustments</t>
  </si>
  <si>
    <t>Required product names present</t>
  </si>
  <si>
    <t>Every sold item needs a product name</t>
  </si>
  <si>
    <t xml:space="preserve">SARS VAT COLLECTED </t>
  </si>
  <si>
    <t xml:space="preserve">TOTAL MONTHLY 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</si>
</sst>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yyyy"/>
    <numFmt numFmtId="165" formatCode="0.0%"/>
    <numFmt numFmtId="166" formatCode="&quot;R&quot;\ #,##0.00;[Red]\(&quot;R&quot;\ #,##0.00\);\-"/>
    <numFmt numFmtId="167" formatCode="#,##0;[Red]\(#,##0\);\-"/>
    <numFmt numFmtId="168" formatCode="\+0.0%;[Red]\-0.0%;\-"/>
    <numFmt numFmtId="169" formatCode="0.0000"/>
  </numFmts>
  <fonts count="17">
    <font>
      <sz val="11"/>
      <name val="Carlito"/>
    </font>
    <font>
      <b/>
      <sz val="16"/>
      <color rgb="FFFFFFFF"/>
      <name val="Carlito"/>
    </font>
    <font>
      <b/>
      <sz val="11"/>
      <color rgb="FF071E3D"/>
      <name val="Carlito"/>
    </font>
    <font>
      <sz val="11"/>
      <color rgb="FF0057D9"/>
      <name val="Carlito"/>
    </font>
    <font>
      <b/>
      <sz val="11"/>
      <color rgb="FFFFFFFF"/>
      <name val="Carlito"/>
    </font>
    <font>
      <i/>
      <sz val="11"/>
      <color rgb="FF071E3D"/>
      <name val="Carlito"/>
    </font>
    <font>
      <b/>
      <sz val="11"/>
      <color rgb="FF0057D9"/>
      <name val="Carlito"/>
    </font>
    <font>
      <b/>
      <sz val="11"/>
      <color rgb="FF007A4D"/>
      <name val="Carlito"/>
    </font>
    <font>
      <sz val="11"/>
      <color rgb="FF007A4D"/>
      <name val="Carlito"/>
    </font>
    <font>
      <b/>
      <sz val="20"/>
      <color rgb="FF071E3D"/>
      <name val="Carlito"/>
    </font>
    <font>
      <sz val="10"/>
      <color rgb="FF52606D"/>
      <name val="Carlito"/>
    </font>
    <font>
      <i/>
      <sz val="9"/>
      <color rgb="FF52606D"/>
      <name val="Carlito"/>
    </font>
    <font>
      <b/>
      <sz val="9"/>
      <color rgb="FF071E3D"/>
      <name val="Carlito"/>
    </font>
    <font>
      <b/>
      <sz val="22"/>
      <color rgb="FF071E3D"/>
      <name val="Carlito"/>
    </font>
    <font>
      <b/>
      <sz val="22"/>
      <color rgb="FF0057D9"/>
      <name val="Carlito"/>
    </font>
    <font>
      <sz val="9"/>
      <color rgb="FF007A4D"/>
      <name val="Carlito"/>
    </font>
    <font>
      <b/>
      <sz val="14"/>
      <color rgb="FF007A4D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71E3D"/>
      </patternFill>
    </fill>
    <fill>
      <patternFill patternType="solid">
        <fgColor rgb="FFF4F6F9"/>
      </patternFill>
    </fill>
    <fill>
      <patternFill patternType="solid">
        <fgColor rgb="FFEAF1FF"/>
      </patternFill>
    </fill>
    <fill>
      <patternFill patternType="solid">
        <fgColor rgb="FFFFF6DA"/>
      </patternFill>
    </fill>
    <fill>
      <patternFill patternType="solid">
        <fgColor rgb="FFE9F7F0"/>
      </patternFill>
    </fill>
    <fill>
      <patternFill patternType="solid">
        <fgColor rgb="FFF4F8FF"/>
      </patternFill>
    </fill>
    <fill>
      <patternFill patternType="solid">
        <fgColor rgb="FFF6FBF8"/>
      </patternFill>
    </fill>
    <fill>
      <patternFill patternType="solid">
        <fgColor rgb="FFF8FAFD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9DB7E5"/>
      </bottom>
      <diagonal/>
    </border>
    <border>
      <left/>
      <right/>
      <top/>
      <bottom style="thin">
        <color rgb="FFD9E0EA"/>
      </bottom>
      <diagonal/>
    </border>
    <border>
      <left/>
      <right/>
      <top style="thin">
        <color rgb="FFD9E0EA"/>
      </top>
      <bottom style="thin">
        <color rgb="FFD9E0EA"/>
      </bottom>
      <diagonal/>
    </border>
    <border>
      <left/>
      <right/>
      <top style="thin">
        <color rgb="FFD9E0EA"/>
      </top>
      <bottom/>
      <diagonal/>
    </border>
    <border>
      <left/>
      <right style="thin">
        <color rgb="FF35506F"/>
      </right>
      <top/>
      <bottom/>
      <diagonal/>
    </border>
    <border>
      <left style="thin">
        <color rgb="FF35506F"/>
      </left>
      <right style="thin">
        <color rgb="FF35506F"/>
      </right>
      <top/>
      <bottom/>
      <diagonal/>
    </border>
    <border>
      <left style="thin">
        <color rgb="FF35506F"/>
      </left>
      <right/>
      <top/>
      <bottom/>
      <diagonal/>
    </border>
    <border>
      <left/>
      <right/>
      <top/>
      <bottom style="thin">
        <color rgb="FFE3E8EF"/>
      </bottom>
      <diagonal/>
    </border>
    <border>
      <left/>
      <right/>
      <top style="thin">
        <color rgb="FFE3E8EF"/>
      </top>
      <bottom style="thin">
        <color rgb="FFE3E8EF"/>
      </bottom>
      <diagonal/>
    </border>
    <border>
      <left/>
      <right/>
      <top style="thin">
        <color rgb="FFE3E8EF"/>
      </top>
      <bottom/>
      <diagonal/>
    </border>
    <border>
      <left/>
      <right/>
      <top/>
      <bottom style="medium">
        <color rgb="FF007A4D"/>
      </bottom>
      <diagonal/>
    </border>
    <border>
      <left/>
      <right/>
      <top/>
      <bottom style="medium">
        <color rgb="FF0057D9"/>
      </bottom>
      <diagonal/>
    </border>
    <border>
      <left/>
      <right/>
      <top/>
      <bottom style="thin">
        <color rgb="FFEDF0F4"/>
      </bottom>
      <diagonal/>
    </border>
    <border>
      <left/>
      <right/>
      <top style="thin">
        <color rgb="FFEDF0F4"/>
      </top>
      <bottom style="thin">
        <color rgb="FFEDF0F4"/>
      </bottom>
      <diagonal/>
    </border>
    <border>
      <left/>
      <right/>
      <top style="thin">
        <color rgb="FFEDF0F4"/>
      </top>
      <bottom/>
      <diagonal/>
    </border>
    <border>
      <left/>
      <right/>
      <top style="double">
        <color rgb="FF071E3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3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0" fillId="0" borderId="11" xfId="0" applyNumberFormat="1" applyFont="1" applyFill="1" applyBorder="1" applyAlignment="1">
      <alignment vertical="center" wrapText="1"/>
    </xf>
    <xf numFmtId="0" fontId="0" fillId="0" borderId="12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4" fillId="2" borderId="14" xfId="0" applyNumberFormat="1" applyFont="1" applyFill="1" applyBorder="1" applyAlignment="1">
      <alignment horizontal="center" vertical="center" wrapText="1"/>
    </xf>
    <xf numFmtId="0" fontId="4" fillId="2" borderId="15" xfId="0" applyNumberFormat="1" applyFont="1" applyFill="1" applyBorder="1" applyAlignment="1">
      <alignment horizontal="center" vertical="center" wrapText="1"/>
    </xf>
    <xf numFmtId="0" fontId="4" fillId="2" borderId="16" xfId="0" applyNumberFormat="1" applyFont="1" applyFill="1" applyBorder="1" applyAlignment="1">
      <alignment horizontal="center" vertical="center" wrapText="1"/>
    </xf>
    <xf numFmtId="0" fontId="3" fillId="7" borderId="17" xfId="0" applyNumberFormat="1" applyFont="1" applyFill="1" applyBorder="1" applyAlignment="1">
      <alignment vertical="center"/>
    </xf>
    <xf numFmtId="0" fontId="3" fillId="7" borderId="18" xfId="0" applyNumberFormat="1" applyFont="1" applyFill="1" applyBorder="1" applyAlignment="1">
      <alignment vertical="center"/>
    </xf>
    <xf numFmtId="0" fontId="3" fillId="7" borderId="19" xfId="0" applyNumberFormat="1" applyFont="1" applyFill="1" applyBorder="1" applyAlignment="1">
      <alignment vertical="center"/>
    </xf>
    <xf numFmtId="167" fontId="3" fillId="7" borderId="17" xfId="0" applyNumberFormat="1" applyFont="1" applyFill="1" applyBorder="1" applyAlignment="1">
      <alignment vertical="center"/>
    </xf>
    <xf numFmtId="167" fontId="3" fillId="7" borderId="18" xfId="0" applyNumberFormat="1" applyFont="1" applyFill="1" applyBorder="1" applyAlignment="1">
      <alignment vertical="center"/>
    </xf>
    <xf numFmtId="167" fontId="3" fillId="7" borderId="19" xfId="0" applyNumberFormat="1" applyFont="1" applyFill="1" applyBorder="1" applyAlignment="1">
      <alignment vertical="center"/>
    </xf>
    <xf numFmtId="166" fontId="3" fillId="7" borderId="17" xfId="0" applyNumberFormat="1" applyFont="1" applyFill="1" applyBorder="1" applyAlignment="1">
      <alignment vertical="center"/>
    </xf>
    <xf numFmtId="166" fontId="8" fillId="8" borderId="17" xfId="0" applyNumberFormat="1" applyFont="1" applyFill="1" applyBorder="1" applyAlignment="1">
      <alignment vertical="center"/>
    </xf>
    <xf numFmtId="166" fontId="3" fillId="7" borderId="18" xfId="0" applyNumberFormat="1" applyFont="1" applyFill="1" applyBorder="1" applyAlignment="1">
      <alignment vertical="center"/>
    </xf>
    <xf numFmtId="166" fontId="8" fillId="8" borderId="18" xfId="0" applyNumberFormat="1" applyFont="1" applyFill="1" applyBorder="1" applyAlignment="1">
      <alignment vertical="center"/>
    </xf>
    <xf numFmtId="166" fontId="3" fillId="7" borderId="19" xfId="0" applyNumberFormat="1" applyFont="1" applyFill="1" applyBorder="1" applyAlignment="1">
      <alignment vertical="center"/>
    </xf>
    <xf numFmtId="166" fontId="8" fillId="8" borderId="19" xfId="0" applyNumberFormat="1" applyFont="1" applyFill="1" applyBorder="1" applyAlignment="1">
      <alignment vertical="center"/>
    </xf>
    <xf numFmtId="165" fontId="8" fillId="8" borderId="17" xfId="0" applyNumberFormat="1" applyFont="1" applyFill="1" applyBorder="1" applyAlignment="1">
      <alignment vertical="center"/>
    </xf>
    <xf numFmtId="165" fontId="8" fillId="8" borderId="18" xfId="0" applyNumberFormat="1" applyFont="1" applyFill="1" applyBorder="1" applyAlignment="1">
      <alignment vertical="center"/>
    </xf>
    <xf numFmtId="165" fontId="8" fillId="8" borderId="19" xfId="0" applyNumberFormat="1" applyFont="1" applyFill="1" applyBorder="1" applyAlignment="1">
      <alignment vertical="center"/>
    </xf>
    <xf numFmtId="167" fontId="8" fillId="8" borderId="17" xfId="0" applyNumberFormat="1" applyFont="1" applyFill="1" applyBorder="1" applyAlignment="1">
      <alignment vertical="center"/>
    </xf>
    <xf numFmtId="167" fontId="8" fillId="8" borderId="18" xfId="0" applyNumberFormat="1" applyFont="1" applyFill="1" applyBorder="1" applyAlignment="1">
      <alignment vertical="center"/>
    </xf>
    <xf numFmtId="167" fontId="8" fillId="8" borderId="19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168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3" fontId="0" fillId="0" borderId="22" xfId="0" applyNumberFormat="1" applyFont="1" applyFill="1" applyBorder="1" applyAlignment="1">
      <alignment vertical="center"/>
    </xf>
    <xf numFmtId="3" fontId="0" fillId="0" borderId="23" xfId="0" applyNumberFormat="1" applyFont="1" applyFill="1" applyBorder="1" applyAlignment="1">
      <alignment vertical="center"/>
    </xf>
    <xf numFmtId="3" fontId="0" fillId="0" borderId="24" xfId="0" applyNumberFormat="1" applyFont="1" applyFill="1" applyBorder="1" applyAlignment="1">
      <alignment vertical="center"/>
    </xf>
    <xf numFmtId="166" fontId="0" fillId="0" borderId="22" xfId="0" applyNumberFormat="1" applyFont="1" applyFill="1" applyBorder="1" applyAlignment="1">
      <alignment vertical="center"/>
    </xf>
    <xf numFmtId="166" fontId="0" fillId="0" borderId="23" xfId="0" applyNumberFormat="1" applyFont="1" applyFill="1" applyBorder="1" applyAlignment="1">
      <alignment vertical="center"/>
    </xf>
    <xf numFmtId="166" fontId="0" fillId="0" borderId="24" xfId="0" applyNumberFormat="1" applyFont="1" applyFill="1" applyBorder="1" applyAlignment="1">
      <alignment vertical="center"/>
    </xf>
    <xf numFmtId="166" fontId="3" fillId="0" borderId="22" xfId="0" applyNumberFormat="1" applyFont="1" applyFill="1" applyBorder="1" applyAlignment="1">
      <alignment vertical="center"/>
    </xf>
    <xf numFmtId="166" fontId="3" fillId="0" borderId="23" xfId="0" applyNumberFormat="1" applyFont="1" applyFill="1" applyBorder="1" applyAlignment="1">
      <alignment vertical="center"/>
    </xf>
    <xf numFmtId="166" fontId="3" fillId="0" borderId="24" xfId="0" applyNumberFormat="1" applyFont="1" applyFill="1" applyBorder="1" applyAlignment="1">
      <alignment vertical="center"/>
    </xf>
    <xf numFmtId="167" fontId="0" fillId="0" borderId="22" xfId="0" applyNumberFormat="1" applyFont="1" applyFill="1" applyBorder="1" applyAlignment="1">
      <alignment vertical="center"/>
    </xf>
    <xf numFmtId="167" fontId="0" fillId="0" borderId="23" xfId="0" applyNumberFormat="1" applyFont="1" applyFill="1" applyBorder="1" applyAlignment="1">
      <alignment vertical="center"/>
    </xf>
    <xf numFmtId="167" fontId="0" fillId="0" borderId="24" xfId="0" applyNumberFormat="1" applyFont="1" applyFill="1" applyBorder="1" applyAlignment="1">
      <alignment vertical="center"/>
    </xf>
    <xf numFmtId="165" fontId="8" fillId="0" borderId="22" xfId="0" applyNumberFormat="1" applyFont="1" applyFill="1" applyBorder="1" applyAlignment="1">
      <alignment vertical="center"/>
    </xf>
    <xf numFmtId="165" fontId="8" fillId="0" borderId="23" xfId="0" applyNumberFormat="1" applyFont="1" applyFill="1" applyBorder="1" applyAlignment="1">
      <alignment vertical="center"/>
    </xf>
    <xf numFmtId="165" fontId="8" fillId="0" borderId="24" xfId="0" applyNumberFormat="1" applyFont="1" applyFill="1" applyBorder="1" applyAlignment="1">
      <alignment vertical="center"/>
    </xf>
    <xf numFmtId="0" fontId="2" fillId="3" borderId="25" xfId="0" applyNumberFormat="1" applyFont="1" applyFill="1" applyBorder="1" applyAlignment="1">
      <alignment vertical="center"/>
    </xf>
    <xf numFmtId="3" fontId="2" fillId="3" borderId="25" xfId="0" applyNumberFormat="1" applyFont="1" applyFill="1" applyBorder="1" applyAlignment="1">
      <alignment vertical="center"/>
    </xf>
    <xf numFmtId="166" fontId="2" fillId="3" borderId="25" xfId="0" applyNumberFormat="1" applyFont="1" applyFill="1" applyBorder="1" applyAlignment="1">
      <alignment vertical="center"/>
    </xf>
    <xf numFmtId="167" fontId="2" fillId="3" borderId="25" xfId="0" applyNumberFormat="1" applyFont="1" applyFill="1" applyBorder="1" applyAlignment="1">
      <alignment vertical="center"/>
    </xf>
    <xf numFmtId="165" fontId="2" fillId="3" borderId="25" xfId="0" applyNumberFormat="1" applyFont="1" applyFill="1" applyBorder="1" applyAlignment="1">
      <alignment vertical="center"/>
    </xf>
    <xf numFmtId="0" fontId="16" fillId="6" borderId="0" xfId="0" applyNumberFormat="1" applyFont="1" applyFill="1" applyBorder="1" applyAlignment="1">
      <alignment vertical="center"/>
    </xf>
    <xf numFmtId="169" fontId="0" fillId="0" borderId="11" xfId="0" applyNumberFormat="1" applyFont="1" applyFill="1" applyBorder="1" applyAlignment="1">
      <alignment vertical="center" wrapText="1"/>
    </xf>
    <xf numFmtId="169" fontId="0" fillId="0" borderId="12" xfId="0" applyNumberFormat="1" applyFont="1" applyFill="1" applyBorder="1" applyAlignment="1">
      <alignment vertical="center" wrapText="1"/>
    </xf>
    <xf numFmtId="3" fontId="0" fillId="0" borderId="12" xfId="0" applyNumberFormat="1" applyFont="1" applyFill="1" applyBorder="1" applyAlignment="1">
      <alignment vertical="center" wrapText="1"/>
    </xf>
    <xf numFmtId="3" fontId="0" fillId="0" borderId="13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right" vertical="center"/>
    </xf>
    <xf numFmtId="0" fontId="12" fillId="0" borderId="0" xfId="0" applyNumberFormat="1" applyFont="1" applyFill="1" applyBorder="1" applyAlignment="1">
      <alignment vertical="center"/>
    </xf>
    <xf numFmtId="166" fontId="13" fillId="9" borderId="0" xfId="0" applyNumberFormat="1" applyFont="1" applyFill="1" applyBorder="1" applyAlignment="1">
      <alignment vertical="center"/>
    </xf>
    <xf numFmtId="0" fontId="13" fillId="9" borderId="0" xfId="0" applyNumberFormat="1" applyFont="1" applyFill="1" applyBorder="1" applyAlignment="1">
      <alignment vertical="center"/>
    </xf>
    <xf numFmtId="0" fontId="13" fillId="9" borderId="20" xfId="0" applyNumberFormat="1" applyFont="1" applyFill="1" applyBorder="1" applyAlignment="1">
      <alignment vertical="center"/>
    </xf>
    <xf numFmtId="166" fontId="14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/>
    </xf>
    <xf numFmtId="0" fontId="14" fillId="9" borderId="21" xfId="0" applyNumberFormat="1" applyFont="1" applyFill="1" applyBorder="1" applyAlignment="1">
      <alignment vertical="center"/>
    </xf>
    <xf numFmtId="165" fontId="13" fillId="9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2" fillId="4" borderId="10" xfId="0" applyNumberFormat="1" applyFont="1" applyFill="1" applyBorder="1" applyAlignment="1">
      <alignment vertical="center"/>
    </xf>
    <xf numFmtId="0" fontId="11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horizontal="center"/>
    </xf>
    <xf numFmtId="0" fontId="7" fillId="6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164" fontId="3" fillId="4" borderId="4" xfId="0" applyNumberFormat="1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166" fontId="3" fillId="4" borderId="4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0" fontId="3" fillId="4" borderId="9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right" vertical="center"/>
    </xf>
    <xf numFmtId="0" fontId="2" fillId="0" borderId="26" xfId="0" applyNumberFormat="1" applyFont="1" applyFill="1" applyBorder="1" applyAlignment="1">
      <alignment vertical="center"/>
    </xf>
    <xf numFmtId="3" fontId="0" fillId="0" borderId="26" xfId="0" applyNumberFormat="1" applyFont="1" applyFill="1" applyBorder="1" applyAlignment="1">
      <alignment vertical="center"/>
    </xf>
    <xf numFmtId="166" fontId="0" fillId="0" borderId="26" xfId="0" applyNumberFormat="1" applyFont="1" applyFill="1" applyBorder="1" applyAlignment="1">
      <alignment vertical="center"/>
    </xf>
    <xf numFmtId="166" fontId="3" fillId="0" borderId="26" xfId="0" applyNumberFormat="1" applyFont="1" applyFill="1" applyBorder="1" applyAlignment="1">
      <alignment vertical="center"/>
    </xf>
    <xf numFmtId="167" fontId="0" fillId="0" borderId="26" xfId="0" applyNumberFormat="1" applyFont="1" applyFill="1" applyBorder="1" applyAlignment="1">
      <alignment vertical="center"/>
    </xf>
    <xf numFmtId="165" fontId="8" fillId="0" borderId="26" xfId="0" applyNumberFormat="1" applyFont="1" applyFill="1" applyBorder="1" applyAlignment="1">
      <alignment vertical="center"/>
    </xf>
    <xf numFmtId="0" fontId="12" fillId="10" borderId="2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showGridLines="0" topLeftCell="A5" workbookViewId="0">
      <selection activeCell="F10" sqref="F10:G10"/>
    </sheetView>
  </sheetViews>
  <sheetFormatPr defaultRowHeight="14"/>
  <cols>
    <col min="1" max="1" width="38" customWidth="1"/>
    <col min="2" max="2" width="15" customWidth="1"/>
    <col min="3" max="5" width="20" customWidth="1"/>
    <col min="6" max="6" width="16" customWidth="1"/>
    <col min="7" max="7" width="18" customWidth="1"/>
  </cols>
  <sheetData>
    <row r="1" spans="1:7" ht="34" customHeight="1">
      <c r="A1" s="92" t="s">
        <v>0</v>
      </c>
      <c r="B1" s="92"/>
      <c r="C1" s="92"/>
      <c r="D1" s="92"/>
      <c r="E1" s="92"/>
      <c r="F1" s="92"/>
      <c r="G1" s="92"/>
    </row>
    <row r="2" spans="1:7">
      <c r="A2" s="58" t="str">
        <f>'Setup &amp; Guide'!$B$3&amp;" | "&amp;'Setup &amp; Guide'!$B$4</f>
        <v>Rulership LTD PTY | 2L Detergent Manufacturing &amp; Retail Sales</v>
      </c>
      <c r="B2" s="58"/>
      <c r="C2" s="58"/>
      <c r="D2" s="58"/>
      <c r="E2" s="58"/>
      <c r="F2" s="59" t="str">
        <f>'Setup &amp; Guide'!$B$5</f>
        <v>Sakhile Ext7 Facility</v>
      </c>
      <c r="G2" s="59"/>
    </row>
    <row r="3" spans="1:7">
      <c r="A3" s="60" t="s">
        <v>1</v>
      </c>
      <c r="B3" s="60"/>
      <c r="C3" s="60"/>
      <c r="D3" s="60"/>
      <c r="E3" s="60"/>
      <c r="F3" s="61">
        <f>'Setup &amp; Guide'!$B$6</f>
        <v>46235</v>
      </c>
      <c r="G3" s="62"/>
    </row>
    <row r="5" spans="1:7">
      <c r="A5" s="63" t="s">
        <v>125</v>
      </c>
      <c r="B5" s="63"/>
      <c r="C5" s="63" t="s">
        <v>124</v>
      </c>
      <c r="D5" s="63"/>
      <c r="E5" s="63" t="s">
        <v>2</v>
      </c>
      <c r="F5" s="63"/>
      <c r="G5" s="63"/>
    </row>
    <row r="6" spans="1:7">
      <c r="A6" s="64">
        <f>SUM('System Data'!$K$6:$K$55)</f>
        <v>140679.90000000002</v>
      </c>
      <c r="B6" s="65"/>
      <c r="C6" s="67">
        <f>SUM('System Data'!$L$6:$L$55)</f>
        <v>21101.99</v>
      </c>
      <c r="D6" s="68"/>
      <c r="E6" s="70">
        <f>IFERROR(SUM('System Data'!$M$6:$M$55)/SUM('System Data'!$K$6:$K$55),0)</f>
        <v>0.41174133618235431</v>
      </c>
      <c r="F6" s="65"/>
      <c r="G6" s="65"/>
    </row>
    <row r="7" spans="1:7">
      <c r="A7" s="66"/>
      <c r="B7" s="66"/>
      <c r="C7" s="69"/>
      <c r="D7" s="69"/>
      <c r="E7" s="66"/>
      <c r="F7" s="66"/>
      <c r="G7" s="66"/>
    </row>
    <row r="8" spans="1:7">
      <c r="A8" s="27" t="s">
        <v>3</v>
      </c>
      <c r="B8" s="28">
        <f>IFERROR((A6-'Setup &amp; Guide'!$B$8)/'Setup &amp; Guide'!$B$8,0)</f>
        <v>0.14200002760024791</v>
      </c>
      <c r="C8" s="71" t="s">
        <v>4</v>
      </c>
      <c r="D8" s="71"/>
      <c r="E8" s="71" t="s">
        <v>5</v>
      </c>
      <c r="F8" s="71"/>
      <c r="G8" s="29">
        <f>IFERROR(SUM('System Data'!$K$6:$K$55)/SUM('System Data'!$G$6:$G$55),0)</f>
        <v>69.990000000000009</v>
      </c>
    </row>
    <row r="10" spans="1:7" ht="30" customHeight="1">
      <c r="A10" s="93" t="s">
        <v>6</v>
      </c>
      <c r="B10" s="93"/>
      <c r="C10" s="93"/>
      <c r="D10" s="93"/>
      <c r="E10" s="93"/>
      <c r="F10" s="94" t="str">
        <f>'Setup &amp; Guide'!$B$5</f>
        <v>Sakhile Ext7 Facility</v>
      </c>
      <c r="G10" s="94"/>
    </row>
    <row r="11" spans="1:7" ht="34" customHeight="1">
      <c r="A11" s="101" t="s">
        <v>7</v>
      </c>
      <c r="B11" s="101" t="s">
        <v>8</v>
      </c>
      <c r="C11" s="101" t="s">
        <v>9</v>
      </c>
      <c r="D11" s="101" t="s">
        <v>10</v>
      </c>
      <c r="E11" s="101" t="s">
        <v>11</v>
      </c>
      <c r="F11" s="101" t="s">
        <v>12</v>
      </c>
      <c r="G11" s="101" t="s">
        <v>13</v>
      </c>
    </row>
    <row r="12" spans="1:7" ht="24" customHeight="1">
      <c r="A12" s="95" t="str">
        <f>IF('System Data'!$B6="","",'System Data'!$B6)</f>
        <v>2L Dish Washing Liquid</v>
      </c>
      <c r="B12" s="96">
        <f>IF($A12="","",'System Data'!$G6)</f>
        <v>840</v>
      </c>
      <c r="C12" s="97">
        <f>IF($A12="","",'System Data'!$I6)</f>
        <v>69.989999999999995</v>
      </c>
      <c r="D12" s="97">
        <f>IF($A12="","",'System Data'!$K6)</f>
        <v>58791.6</v>
      </c>
      <c r="E12" s="98">
        <f>IF($A12="","",'System Data'!$L6)</f>
        <v>8818.74</v>
      </c>
      <c r="F12" s="99">
        <f>IF($A12="","",'System Data'!$O6)</f>
        <v>200</v>
      </c>
      <c r="G12" s="100">
        <f>IF($A12="","",'System Data'!$N6)</f>
        <v>0.42499999999999999</v>
      </c>
    </row>
    <row r="13" spans="1:7" ht="24" customHeight="1">
      <c r="A13" s="95" t="str">
        <f>IF('System Data'!$B7="","",'System Data'!$B7)</f>
        <v>2L Pine Gel Concentrated Cleaner</v>
      </c>
      <c r="B13" s="96">
        <f>IF($A13="","",'System Data'!$G7)</f>
        <v>650</v>
      </c>
      <c r="C13" s="97">
        <f>IF($A13="","",'System Data'!$I7)</f>
        <v>69.989999999999995</v>
      </c>
      <c r="D13" s="97">
        <f>IF($A13="","",'System Data'!$K7)</f>
        <v>45493.5</v>
      </c>
      <c r="E13" s="98">
        <f>IF($A13="","",'System Data'!$L7)</f>
        <v>6824.03</v>
      </c>
      <c r="F13" s="99">
        <f>IF($A13="","",'System Data'!$O7)</f>
        <v>100</v>
      </c>
      <c r="G13" s="100">
        <f>IF($A13="","",'System Data'!$N7)</f>
        <v>0.40800004396232425</v>
      </c>
    </row>
    <row r="14" spans="1:7" ht="24" customHeight="1">
      <c r="A14" s="95" t="str">
        <f>IF('System Data'!$B8="","",'System Data'!$B8)</f>
        <v>2L Multi-Purpose Surface Cleaner</v>
      </c>
      <c r="B14" s="96">
        <f>IF($A14="","",'System Data'!$G8)</f>
        <v>520</v>
      </c>
      <c r="C14" s="97">
        <f>IF($A14="","",'System Data'!$I8)</f>
        <v>69.989999999999995</v>
      </c>
      <c r="D14" s="97">
        <f>IF($A14="","",'System Data'!$K8)</f>
        <v>36394.800000000003</v>
      </c>
      <c r="E14" s="98">
        <f>IF($A14="","",'System Data'!$L8)</f>
        <v>5459.22</v>
      </c>
      <c r="F14" s="99">
        <f>IF($A14="","",'System Data'!$O8)</f>
        <v>80</v>
      </c>
      <c r="G14" s="100">
        <f>IF($A14="","",'System Data'!$N8)</f>
        <v>0.39500010990581069</v>
      </c>
    </row>
    <row r="15" spans="1:7" ht="24" customHeight="1">
      <c r="A15" s="30" t="str">
        <f>IF('System Data'!$B9="","",'System Data'!$B9)</f>
        <v/>
      </c>
      <c r="B15" s="33" t="str">
        <f>IF($A15="","",'System Data'!$G9)</f>
        <v/>
      </c>
      <c r="C15" s="36" t="str">
        <f>IF($A15="","",'System Data'!$I9)</f>
        <v/>
      </c>
      <c r="D15" s="36" t="str">
        <f>IF($A15="","",'System Data'!$K9)</f>
        <v/>
      </c>
      <c r="E15" s="39" t="str">
        <f>IF($A15="","",'System Data'!$L9)</f>
        <v/>
      </c>
      <c r="F15" s="42" t="str">
        <f>IF($A15="","",'System Data'!$O9)</f>
        <v/>
      </c>
      <c r="G15" s="45" t="str">
        <f>IF($A15="","",'System Data'!$N9)</f>
        <v/>
      </c>
    </row>
    <row r="16" spans="1:7" ht="24" customHeight="1">
      <c r="A16" s="31" t="str">
        <f>IF('System Data'!$B10="","",'System Data'!$B10)</f>
        <v/>
      </c>
      <c r="B16" s="34" t="str">
        <f>IF($A16="","",'System Data'!$G10)</f>
        <v/>
      </c>
      <c r="C16" s="37" t="str">
        <f>IF($A16="","",'System Data'!$I10)</f>
        <v/>
      </c>
      <c r="D16" s="37" t="str">
        <f>IF($A16="","",'System Data'!$K10)</f>
        <v/>
      </c>
      <c r="E16" s="40" t="str">
        <f>IF($A16="","",'System Data'!$L10)</f>
        <v/>
      </c>
      <c r="F16" s="43" t="str">
        <f>IF($A16="","",'System Data'!$O10)</f>
        <v/>
      </c>
      <c r="G16" s="46" t="str">
        <f>IF($A16="","",'System Data'!$N10)</f>
        <v/>
      </c>
    </row>
    <row r="17" spans="1:7" ht="24" customHeight="1">
      <c r="A17" s="31" t="str">
        <f>IF('System Data'!$B11="","",'System Data'!$B11)</f>
        <v/>
      </c>
      <c r="B17" s="34" t="str">
        <f>IF($A17="","",'System Data'!$G11)</f>
        <v/>
      </c>
      <c r="C17" s="37" t="str">
        <f>IF($A17="","",'System Data'!$I11)</f>
        <v/>
      </c>
      <c r="D17" s="37" t="str">
        <f>IF($A17="","",'System Data'!$K11)</f>
        <v/>
      </c>
      <c r="E17" s="40" t="str">
        <f>IF($A17="","",'System Data'!$L11)</f>
        <v/>
      </c>
      <c r="F17" s="43" t="str">
        <f>IF($A17="","",'System Data'!$O11)</f>
        <v/>
      </c>
      <c r="G17" s="46" t="str">
        <f>IF($A17="","",'System Data'!$N11)</f>
        <v/>
      </c>
    </row>
    <row r="18" spans="1:7" ht="24" customHeight="1">
      <c r="A18" s="31" t="str">
        <f>IF('System Data'!$B12="","",'System Data'!$B12)</f>
        <v/>
      </c>
      <c r="B18" s="34" t="str">
        <f>IF($A18="","",'System Data'!$G12)</f>
        <v/>
      </c>
      <c r="C18" s="37" t="str">
        <f>IF($A18="","",'System Data'!$I12)</f>
        <v/>
      </c>
      <c r="D18" s="37" t="str">
        <f>IF($A18="","",'System Data'!$K12)</f>
        <v/>
      </c>
      <c r="E18" s="40" t="str">
        <f>IF($A18="","",'System Data'!$L12)</f>
        <v/>
      </c>
      <c r="F18" s="43" t="str">
        <f>IF($A18="","",'System Data'!$O12)</f>
        <v/>
      </c>
      <c r="G18" s="46" t="str">
        <f>IF($A18="","",'System Data'!$N12)</f>
        <v/>
      </c>
    </row>
    <row r="19" spans="1:7" ht="24" customHeight="1">
      <c r="A19" s="31" t="str">
        <f>IF('System Data'!$B13="","",'System Data'!$B13)</f>
        <v/>
      </c>
      <c r="B19" s="34" t="str">
        <f>IF($A19="","",'System Data'!$G13)</f>
        <v/>
      </c>
      <c r="C19" s="37" t="str">
        <f>IF($A19="","",'System Data'!$I13)</f>
        <v/>
      </c>
      <c r="D19" s="37" t="str">
        <f>IF($A19="","",'System Data'!$K13)</f>
        <v/>
      </c>
      <c r="E19" s="40" t="str">
        <f>IF($A19="","",'System Data'!$L13)</f>
        <v/>
      </c>
      <c r="F19" s="43" t="str">
        <f>IF($A19="","",'System Data'!$O13)</f>
        <v/>
      </c>
      <c r="G19" s="46" t="str">
        <f>IF($A19="","",'System Data'!$N13)</f>
        <v/>
      </c>
    </row>
    <row r="20" spans="1:7" ht="24" customHeight="1">
      <c r="A20" s="31" t="str">
        <f>IF('System Data'!$B14="","",'System Data'!$B14)</f>
        <v/>
      </c>
      <c r="B20" s="34" t="str">
        <f>IF($A20="","",'System Data'!$G14)</f>
        <v/>
      </c>
      <c r="C20" s="37" t="str">
        <f>IF($A20="","",'System Data'!$I14)</f>
        <v/>
      </c>
      <c r="D20" s="37" t="str">
        <f>IF($A20="","",'System Data'!$K14)</f>
        <v/>
      </c>
      <c r="E20" s="40" t="str">
        <f>IF($A20="","",'System Data'!$L14)</f>
        <v/>
      </c>
      <c r="F20" s="43" t="str">
        <f>IF($A20="","",'System Data'!$O14)</f>
        <v/>
      </c>
      <c r="G20" s="46" t="str">
        <f>IF($A20="","",'System Data'!$N14)</f>
        <v/>
      </c>
    </row>
    <row r="21" spans="1:7" ht="24" customHeight="1">
      <c r="A21" s="31" t="str">
        <f>IF('System Data'!$B15="","",'System Data'!$B15)</f>
        <v/>
      </c>
      <c r="B21" s="34" t="str">
        <f>IF($A21="","",'System Data'!$G15)</f>
        <v/>
      </c>
      <c r="C21" s="37" t="str">
        <f>IF($A21="","",'System Data'!$I15)</f>
        <v/>
      </c>
      <c r="D21" s="37" t="str">
        <f>IF($A21="","",'System Data'!$K15)</f>
        <v/>
      </c>
      <c r="E21" s="40" t="str">
        <f>IF($A21="","",'System Data'!$L15)</f>
        <v/>
      </c>
      <c r="F21" s="43" t="str">
        <f>IF($A21="","",'System Data'!$O15)</f>
        <v/>
      </c>
      <c r="G21" s="46" t="str">
        <f>IF($A21="","",'System Data'!$N15)</f>
        <v/>
      </c>
    </row>
    <row r="22" spans="1:7" ht="24" customHeight="1">
      <c r="A22" s="31" t="str">
        <f>IF('System Data'!$B16="","",'System Data'!$B16)</f>
        <v/>
      </c>
      <c r="B22" s="34" t="str">
        <f>IF($A22="","",'System Data'!$G16)</f>
        <v/>
      </c>
      <c r="C22" s="37" t="str">
        <f>IF($A22="","",'System Data'!$I16)</f>
        <v/>
      </c>
      <c r="D22" s="37" t="str">
        <f>IF($A22="","",'System Data'!$K16)</f>
        <v/>
      </c>
      <c r="E22" s="40" t="str">
        <f>IF($A22="","",'System Data'!$L16)</f>
        <v/>
      </c>
      <c r="F22" s="43" t="str">
        <f>IF($A22="","",'System Data'!$O16)</f>
        <v/>
      </c>
      <c r="G22" s="46" t="str">
        <f>IF($A22="","",'System Data'!$N16)</f>
        <v/>
      </c>
    </row>
    <row r="23" spans="1:7" ht="24" customHeight="1">
      <c r="A23" s="31" t="str">
        <f>IF('System Data'!$B17="","",'System Data'!$B17)</f>
        <v/>
      </c>
      <c r="B23" s="34" t="str">
        <f>IF($A23="","",'System Data'!$G17)</f>
        <v/>
      </c>
      <c r="C23" s="37" t="str">
        <f>IF($A23="","",'System Data'!$I17)</f>
        <v/>
      </c>
      <c r="D23" s="37" t="str">
        <f>IF($A23="","",'System Data'!$K17)</f>
        <v/>
      </c>
      <c r="E23" s="40" t="str">
        <f>IF($A23="","",'System Data'!$L17)</f>
        <v/>
      </c>
      <c r="F23" s="43" t="str">
        <f>IF($A23="","",'System Data'!$O17)</f>
        <v/>
      </c>
      <c r="G23" s="46" t="str">
        <f>IF($A23="","",'System Data'!$N17)</f>
        <v/>
      </c>
    </row>
    <row r="24" spans="1:7" ht="24" customHeight="1">
      <c r="A24" s="31" t="str">
        <f>IF('System Data'!$B18="","",'System Data'!$B18)</f>
        <v/>
      </c>
      <c r="B24" s="34" t="str">
        <f>IF($A24="","",'System Data'!$G18)</f>
        <v/>
      </c>
      <c r="C24" s="37" t="str">
        <f>IF($A24="","",'System Data'!$I18)</f>
        <v/>
      </c>
      <c r="D24" s="37" t="str">
        <f>IF($A24="","",'System Data'!$K18)</f>
        <v/>
      </c>
      <c r="E24" s="40" t="str">
        <f>IF($A24="","",'System Data'!$L18)</f>
        <v/>
      </c>
      <c r="F24" s="43" t="str">
        <f>IF($A24="","",'System Data'!$O18)</f>
        <v/>
      </c>
      <c r="G24" s="46" t="str">
        <f>IF($A24="","",'System Data'!$N18)</f>
        <v/>
      </c>
    </row>
    <row r="25" spans="1:7" ht="24" customHeight="1">
      <c r="A25" s="31" t="str">
        <f>IF('System Data'!$B19="","",'System Data'!$B19)</f>
        <v/>
      </c>
      <c r="B25" s="34" t="str">
        <f>IF($A25="","",'System Data'!$G19)</f>
        <v/>
      </c>
      <c r="C25" s="37" t="str">
        <f>IF($A25="","",'System Data'!$I19)</f>
        <v/>
      </c>
      <c r="D25" s="37" t="str">
        <f>IF($A25="","",'System Data'!$K19)</f>
        <v/>
      </c>
      <c r="E25" s="40" t="str">
        <f>IF($A25="","",'System Data'!$L19)</f>
        <v/>
      </c>
      <c r="F25" s="43" t="str">
        <f>IF($A25="","",'System Data'!$O19)</f>
        <v/>
      </c>
      <c r="G25" s="46" t="str">
        <f>IF($A25="","",'System Data'!$N19)</f>
        <v/>
      </c>
    </row>
    <row r="26" spans="1:7" ht="24" customHeight="1">
      <c r="A26" s="31" t="str">
        <f>IF('System Data'!$B20="","",'System Data'!$B20)</f>
        <v/>
      </c>
      <c r="B26" s="34" t="str">
        <f>IF($A26="","",'System Data'!$G20)</f>
        <v/>
      </c>
      <c r="C26" s="37" t="str">
        <f>IF($A26="","",'System Data'!$I20)</f>
        <v/>
      </c>
      <c r="D26" s="37" t="str">
        <f>IF($A26="","",'System Data'!$K20)</f>
        <v/>
      </c>
      <c r="E26" s="40" t="str">
        <f>IF($A26="","",'System Data'!$L20)</f>
        <v/>
      </c>
      <c r="F26" s="43" t="str">
        <f>IF($A26="","",'System Data'!$O20)</f>
        <v/>
      </c>
      <c r="G26" s="46" t="str">
        <f>IF($A26="","",'System Data'!$N20)</f>
        <v/>
      </c>
    </row>
    <row r="27" spans="1:7" ht="24" customHeight="1">
      <c r="A27" s="31" t="str">
        <f>IF('System Data'!$B21="","",'System Data'!$B21)</f>
        <v/>
      </c>
      <c r="B27" s="34" t="str">
        <f>IF($A27="","",'System Data'!$G21)</f>
        <v/>
      </c>
      <c r="C27" s="37" t="str">
        <f>IF($A27="","",'System Data'!$I21)</f>
        <v/>
      </c>
      <c r="D27" s="37" t="str">
        <f>IF($A27="","",'System Data'!$K21)</f>
        <v/>
      </c>
      <c r="E27" s="40" t="str">
        <f>IF($A27="","",'System Data'!$L21)</f>
        <v/>
      </c>
      <c r="F27" s="43" t="str">
        <f>IF($A27="","",'System Data'!$O21)</f>
        <v/>
      </c>
      <c r="G27" s="46" t="str">
        <f>IF($A27="","",'System Data'!$N21)</f>
        <v/>
      </c>
    </row>
    <row r="28" spans="1:7" ht="24" customHeight="1">
      <c r="A28" s="31" t="str">
        <f>IF('System Data'!$B22="","",'System Data'!$B22)</f>
        <v/>
      </c>
      <c r="B28" s="34" t="str">
        <f>IF($A28="","",'System Data'!$G22)</f>
        <v/>
      </c>
      <c r="C28" s="37" t="str">
        <f>IF($A28="","",'System Data'!$I22)</f>
        <v/>
      </c>
      <c r="D28" s="37" t="str">
        <f>IF($A28="","",'System Data'!$K22)</f>
        <v/>
      </c>
      <c r="E28" s="40" t="str">
        <f>IF($A28="","",'System Data'!$L22)</f>
        <v/>
      </c>
      <c r="F28" s="43" t="str">
        <f>IF($A28="","",'System Data'!$O22)</f>
        <v/>
      </c>
      <c r="G28" s="46" t="str">
        <f>IF($A28="","",'System Data'!$N22)</f>
        <v/>
      </c>
    </row>
    <row r="29" spans="1:7" ht="24" customHeight="1">
      <c r="A29" s="31" t="str">
        <f>IF('System Data'!$B23="","",'System Data'!$B23)</f>
        <v/>
      </c>
      <c r="B29" s="34" t="str">
        <f>IF($A29="","",'System Data'!$G23)</f>
        <v/>
      </c>
      <c r="C29" s="37" t="str">
        <f>IF($A29="","",'System Data'!$I23)</f>
        <v/>
      </c>
      <c r="D29" s="37" t="str">
        <f>IF($A29="","",'System Data'!$K23)</f>
        <v/>
      </c>
      <c r="E29" s="40" t="str">
        <f>IF($A29="","",'System Data'!$L23)</f>
        <v/>
      </c>
      <c r="F29" s="43" t="str">
        <f>IF($A29="","",'System Data'!$O23)</f>
        <v/>
      </c>
      <c r="G29" s="46" t="str">
        <f>IF($A29="","",'System Data'!$N23)</f>
        <v/>
      </c>
    </row>
    <row r="30" spans="1:7" ht="24" customHeight="1">
      <c r="A30" s="31" t="str">
        <f>IF('System Data'!$B24="","",'System Data'!$B24)</f>
        <v/>
      </c>
      <c r="B30" s="34" t="str">
        <f>IF($A30="","",'System Data'!$G24)</f>
        <v/>
      </c>
      <c r="C30" s="37" t="str">
        <f>IF($A30="","",'System Data'!$I24)</f>
        <v/>
      </c>
      <c r="D30" s="37" t="str">
        <f>IF($A30="","",'System Data'!$K24)</f>
        <v/>
      </c>
      <c r="E30" s="40" t="str">
        <f>IF($A30="","",'System Data'!$L24)</f>
        <v/>
      </c>
      <c r="F30" s="43" t="str">
        <f>IF($A30="","",'System Data'!$O24)</f>
        <v/>
      </c>
      <c r="G30" s="46" t="str">
        <f>IF($A30="","",'System Data'!$N24)</f>
        <v/>
      </c>
    </row>
    <row r="31" spans="1:7" ht="24" customHeight="1">
      <c r="A31" s="31" t="str">
        <f>IF('System Data'!$B25="","",'System Data'!$B25)</f>
        <v/>
      </c>
      <c r="B31" s="34" t="str">
        <f>IF($A31="","",'System Data'!$G25)</f>
        <v/>
      </c>
      <c r="C31" s="37" t="str">
        <f>IF($A31="","",'System Data'!$I25)</f>
        <v/>
      </c>
      <c r="D31" s="37" t="str">
        <f>IF($A31="","",'System Data'!$K25)</f>
        <v/>
      </c>
      <c r="E31" s="40" t="str">
        <f>IF($A31="","",'System Data'!$L25)</f>
        <v/>
      </c>
      <c r="F31" s="43" t="str">
        <f>IF($A31="","",'System Data'!$O25)</f>
        <v/>
      </c>
      <c r="G31" s="46" t="str">
        <f>IF($A31="","",'System Data'!$N25)</f>
        <v/>
      </c>
    </row>
    <row r="32" spans="1:7" ht="24" customHeight="1">
      <c r="A32" s="31" t="str">
        <f>IF('System Data'!$B26="","",'System Data'!$B26)</f>
        <v/>
      </c>
      <c r="B32" s="34" t="str">
        <f>IF($A32="","",'System Data'!$G26)</f>
        <v/>
      </c>
      <c r="C32" s="37" t="str">
        <f>IF($A32="","",'System Data'!$I26)</f>
        <v/>
      </c>
      <c r="D32" s="37" t="str">
        <f>IF($A32="","",'System Data'!$K26)</f>
        <v/>
      </c>
      <c r="E32" s="40" t="str">
        <f>IF($A32="","",'System Data'!$L26)</f>
        <v/>
      </c>
      <c r="F32" s="43" t="str">
        <f>IF($A32="","",'System Data'!$O26)</f>
        <v/>
      </c>
      <c r="G32" s="46" t="str">
        <f>IF($A32="","",'System Data'!$N26)</f>
        <v/>
      </c>
    </row>
    <row r="33" spans="1:7" ht="24" customHeight="1">
      <c r="A33" s="31" t="str">
        <f>IF('System Data'!$B27="","",'System Data'!$B27)</f>
        <v/>
      </c>
      <c r="B33" s="34" t="str">
        <f>IF($A33="","",'System Data'!$G27)</f>
        <v/>
      </c>
      <c r="C33" s="37" t="str">
        <f>IF($A33="","",'System Data'!$I27)</f>
        <v/>
      </c>
      <c r="D33" s="37" t="str">
        <f>IF($A33="","",'System Data'!$K27)</f>
        <v/>
      </c>
      <c r="E33" s="40" t="str">
        <f>IF($A33="","",'System Data'!$L27)</f>
        <v/>
      </c>
      <c r="F33" s="43" t="str">
        <f>IF($A33="","",'System Data'!$O27)</f>
        <v/>
      </c>
      <c r="G33" s="46" t="str">
        <f>IF($A33="","",'System Data'!$N27)</f>
        <v/>
      </c>
    </row>
    <row r="34" spans="1:7" ht="24" customHeight="1">
      <c r="A34" s="31" t="str">
        <f>IF('System Data'!$B28="","",'System Data'!$B28)</f>
        <v/>
      </c>
      <c r="B34" s="34" t="str">
        <f>IF($A34="","",'System Data'!$G28)</f>
        <v/>
      </c>
      <c r="C34" s="37" t="str">
        <f>IF($A34="","",'System Data'!$I28)</f>
        <v/>
      </c>
      <c r="D34" s="37" t="str">
        <f>IF($A34="","",'System Data'!$K28)</f>
        <v/>
      </c>
      <c r="E34" s="40" t="str">
        <f>IF($A34="","",'System Data'!$L28)</f>
        <v/>
      </c>
      <c r="F34" s="43" t="str">
        <f>IF($A34="","",'System Data'!$O28)</f>
        <v/>
      </c>
      <c r="G34" s="46" t="str">
        <f>IF($A34="","",'System Data'!$N28)</f>
        <v/>
      </c>
    </row>
    <row r="35" spans="1:7" ht="24" customHeight="1">
      <c r="A35" s="31" t="str">
        <f>IF('System Data'!$B29="","",'System Data'!$B29)</f>
        <v/>
      </c>
      <c r="B35" s="34" t="str">
        <f>IF($A35="","",'System Data'!$G29)</f>
        <v/>
      </c>
      <c r="C35" s="37" t="str">
        <f>IF($A35="","",'System Data'!$I29)</f>
        <v/>
      </c>
      <c r="D35" s="37" t="str">
        <f>IF($A35="","",'System Data'!$K29)</f>
        <v/>
      </c>
      <c r="E35" s="40" t="str">
        <f>IF($A35="","",'System Data'!$L29)</f>
        <v/>
      </c>
      <c r="F35" s="43" t="str">
        <f>IF($A35="","",'System Data'!$O29)</f>
        <v/>
      </c>
      <c r="G35" s="46" t="str">
        <f>IF($A35="","",'System Data'!$N29)</f>
        <v/>
      </c>
    </row>
    <row r="36" spans="1:7" ht="24" customHeight="1">
      <c r="A36" s="31" t="str">
        <f>IF('System Data'!$B30="","",'System Data'!$B30)</f>
        <v/>
      </c>
      <c r="B36" s="34" t="str">
        <f>IF($A36="","",'System Data'!$G30)</f>
        <v/>
      </c>
      <c r="C36" s="37" t="str">
        <f>IF($A36="","",'System Data'!$I30)</f>
        <v/>
      </c>
      <c r="D36" s="37" t="str">
        <f>IF($A36="","",'System Data'!$K30)</f>
        <v/>
      </c>
      <c r="E36" s="40" t="str">
        <f>IF($A36="","",'System Data'!$L30)</f>
        <v/>
      </c>
      <c r="F36" s="43" t="str">
        <f>IF($A36="","",'System Data'!$O30)</f>
        <v/>
      </c>
      <c r="G36" s="46" t="str">
        <f>IF($A36="","",'System Data'!$N30)</f>
        <v/>
      </c>
    </row>
    <row r="37" spans="1:7" ht="24" customHeight="1">
      <c r="A37" s="31" t="str">
        <f>IF('System Data'!$B31="","",'System Data'!$B31)</f>
        <v/>
      </c>
      <c r="B37" s="34" t="str">
        <f>IF($A37="","",'System Data'!$G31)</f>
        <v/>
      </c>
      <c r="C37" s="37" t="str">
        <f>IF($A37="","",'System Data'!$I31)</f>
        <v/>
      </c>
      <c r="D37" s="37" t="str">
        <f>IF($A37="","",'System Data'!$K31)</f>
        <v/>
      </c>
      <c r="E37" s="40" t="str">
        <f>IF($A37="","",'System Data'!$L31)</f>
        <v/>
      </c>
      <c r="F37" s="43" t="str">
        <f>IF($A37="","",'System Data'!$O31)</f>
        <v/>
      </c>
      <c r="G37" s="46" t="str">
        <f>IF($A37="","",'System Data'!$N31)</f>
        <v/>
      </c>
    </row>
    <row r="38" spans="1:7" ht="24" customHeight="1">
      <c r="A38" s="31" t="str">
        <f>IF('System Data'!$B32="","",'System Data'!$B32)</f>
        <v/>
      </c>
      <c r="B38" s="34" t="str">
        <f>IF($A38="","",'System Data'!$G32)</f>
        <v/>
      </c>
      <c r="C38" s="37" t="str">
        <f>IF($A38="","",'System Data'!$I32)</f>
        <v/>
      </c>
      <c r="D38" s="37" t="str">
        <f>IF($A38="","",'System Data'!$K32)</f>
        <v/>
      </c>
      <c r="E38" s="40" t="str">
        <f>IF($A38="","",'System Data'!$L32)</f>
        <v/>
      </c>
      <c r="F38" s="43" t="str">
        <f>IF($A38="","",'System Data'!$O32)</f>
        <v/>
      </c>
      <c r="G38" s="46" t="str">
        <f>IF($A38="","",'System Data'!$N32)</f>
        <v/>
      </c>
    </row>
    <row r="39" spans="1:7" ht="24" customHeight="1">
      <c r="A39" s="31" t="str">
        <f>IF('System Data'!$B33="","",'System Data'!$B33)</f>
        <v/>
      </c>
      <c r="B39" s="34" t="str">
        <f>IF($A39="","",'System Data'!$G33)</f>
        <v/>
      </c>
      <c r="C39" s="37" t="str">
        <f>IF($A39="","",'System Data'!$I33)</f>
        <v/>
      </c>
      <c r="D39" s="37" t="str">
        <f>IF($A39="","",'System Data'!$K33)</f>
        <v/>
      </c>
      <c r="E39" s="40" t="str">
        <f>IF($A39="","",'System Data'!$L33)</f>
        <v/>
      </c>
      <c r="F39" s="43" t="str">
        <f>IF($A39="","",'System Data'!$O33)</f>
        <v/>
      </c>
      <c r="G39" s="46" t="str">
        <f>IF($A39="","",'System Data'!$N33)</f>
        <v/>
      </c>
    </row>
    <row r="40" spans="1:7" ht="24" customHeight="1">
      <c r="A40" s="31" t="str">
        <f>IF('System Data'!$B34="","",'System Data'!$B34)</f>
        <v/>
      </c>
      <c r="B40" s="34" t="str">
        <f>IF($A40="","",'System Data'!$G34)</f>
        <v/>
      </c>
      <c r="C40" s="37" t="str">
        <f>IF($A40="","",'System Data'!$I34)</f>
        <v/>
      </c>
      <c r="D40" s="37" t="str">
        <f>IF($A40="","",'System Data'!$K34)</f>
        <v/>
      </c>
      <c r="E40" s="40" t="str">
        <f>IF($A40="","",'System Data'!$L34)</f>
        <v/>
      </c>
      <c r="F40" s="43" t="str">
        <f>IF($A40="","",'System Data'!$O34)</f>
        <v/>
      </c>
      <c r="G40" s="46" t="str">
        <f>IF($A40="","",'System Data'!$N34)</f>
        <v/>
      </c>
    </row>
    <row r="41" spans="1:7" ht="24" customHeight="1">
      <c r="A41" s="31" t="str">
        <f>IF('System Data'!$B35="","",'System Data'!$B35)</f>
        <v/>
      </c>
      <c r="B41" s="34" t="str">
        <f>IF($A41="","",'System Data'!$G35)</f>
        <v/>
      </c>
      <c r="C41" s="37" t="str">
        <f>IF($A41="","",'System Data'!$I35)</f>
        <v/>
      </c>
      <c r="D41" s="37" t="str">
        <f>IF($A41="","",'System Data'!$K35)</f>
        <v/>
      </c>
      <c r="E41" s="40" t="str">
        <f>IF($A41="","",'System Data'!$L35)</f>
        <v/>
      </c>
      <c r="F41" s="43" t="str">
        <f>IF($A41="","",'System Data'!$O35)</f>
        <v/>
      </c>
      <c r="G41" s="46" t="str">
        <f>IF($A41="","",'System Data'!$N35)</f>
        <v/>
      </c>
    </row>
    <row r="42" spans="1:7" ht="24" customHeight="1">
      <c r="A42" s="31" t="str">
        <f>IF('System Data'!$B36="","",'System Data'!$B36)</f>
        <v/>
      </c>
      <c r="B42" s="34" t="str">
        <f>IF($A42="","",'System Data'!$G36)</f>
        <v/>
      </c>
      <c r="C42" s="37" t="str">
        <f>IF($A42="","",'System Data'!$I36)</f>
        <v/>
      </c>
      <c r="D42" s="37" t="str">
        <f>IF($A42="","",'System Data'!$K36)</f>
        <v/>
      </c>
      <c r="E42" s="40" t="str">
        <f>IF($A42="","",'System Data'!$L36)</f>
        <v/>
      </c>
      <c r="F42" s="43" t="str">
        <f>IF($A42="","",'System Data'!$O36)</f>
        <v/>
      </c>
      <c r="G42" s="46" t="str">
        <f>IF($A42="","",'System Data'!$N36)</f>
        <v/>
      </c>
    </row>
    <row r="43" spans="1:7" ht="24" customHeight="1">
      <c r="A43" s="31" t="str">
        <f>IF('System Data'!$B37="","",'System Data'!$B37)</f>
        <v/>
      </c>
      <c r="B43" s="34" t="str">
        <f>IF($A43="","",'System Data'!$G37)</f>
        <v/>
      </c>
      <c r="C43" s="37" t="str">
        <f>IF($A43="","",'System Data'!$I37)</f>
        <v/>
      </c>
      <c r="D43" s="37" t="str">
        <f>IF($A43="","",'System Data'!$K37)</f>
        <v/>
      </c>
      <c r="E43" s="40" t="str">
        <f>IF($A43="","",'System Data'!$L37)</f>
        <v/>
      </c>
      <c r="F43" s="43" t="str">
        <f>IF($A43="","",'System Data'!$O37)</f>
        <v/>
      </c>
      <c r="G43" s="46" t="str">
        <f>IF($A43="","",'System Data'!$N37)</f>
        <v/>
      </c>
    </row>
    <row r="44" spans="1:7" ht="24" customHeight="1">
      <c r="A44" s="31" t="str">
        <f>IF('System Data'!$B38="","",'System Data'!$B38)</f>
        <v/>
      </c>
      <c r="B44" s="34" t="str">
        <f>IF($A44="","",'System Data'!$G38)</f>
        <v/>
      </c>
      <c r="C44" s="37" t="str">
        <f>IF($A44="","",'System Data'!$I38)</f>
        <v/>
      </c>
      <c r="D44" s="37" t="str">
        <f>IF($A44="","",'System Data'!$K38)</f>
        <v/>
      </c>
      <c r="E44" s="40" t="str">
        <f>IF($A44="","",'System Data'!$L38)</f>
        <v/>
      </c>
      <c r="F44" s="43" t="str">
        <f>IF($A44="","",'System Data'!$O38)</f>
        <v/>
      </c>
      <c r="G44" s="46" t="str">
        <f>IF($A44="","",'System Data'!$N38)</f>
        <v/>
      </c>
    </row>
    <row r="45" spans="1:7" ht="24" customHeight="1">
      <c r="A45" s="31" t="str">
        <f>IF('System Data'!$B39="","",'System Data'!$B39)</f>
        <v/>
      </c>
      <c r="B45" s="34" t="str">
        <f>IF($A45="","",'System Data'!$G39)</f>
        <v/>
      </c>
      <c r="C45" s="37" t="str">
        <f>IF($A45="","",'System Data'!$I39)</f>
        <v/>
      </c>
      <c r="D45" s="37" t="str">
        <f>IF($A45="","",'System Data'!$K39)</f>
        <v/>
      </c>
      <c r="E45" s="40" t="str">
        <f>IF($A45="","",'System Data'!$L39)</f>
        <v/>
      </c>
      <c r="F45" s="43" t="str">
        <f>IF($A45="","",'System Data'!$O39)</f>
        <v/>
      </c>
      <c r="G45" s="46" t="str">
        <f>IF($A45="","",'System Data'!$N39)</f>
        <v/>
      </c>
    </row>
    <row r="46" spans="1:7" ht="24" customHeight="1">
      <c r="A46" s="31" t="str">
        <f>IF('System Data'!$B40="","",'System Data'!$B40)</f>
        <v/>
      </c>
      <c r="B46" s="34" t="str">
        <f>IF($A46="","",'System Data'!$G40)</f>
        <v/>
      </c>
      <c r="C46" s="37" t="str">
        <f>IF($A46="","",'System Data'!$I40)</f>
        <v/>
      </c>
      <c r="D46" s="37" t="str">
        <f>IF($A46="","",'System Data'!$K40)</f>
        <v/>
      </c>
      <c r="E46" s="40" t="str">
        <f>IF($A46="","",'System Data'!$L40)</f>
        <v/>
      </c>
      <c r="F46" s="43" t="str">
        <f>IF($A46="","",'System Data'!$O40)</f>
        <v/>
      </c>
      <c r="G46" s="46" t="str">
        <f>IF($A46="","",'System Data'!$N40)</f>
        <v/>
      </c>
    </row>
    <row r="47" spans="1:7" ht="24" customHeight="1">
      <c r="A47" s="31" t="str">
        <f>IF('System Data'!$B41="","",'System Data'!$B41)</f>
        <v/>
      </c>
      <c r="B47" s="34" t="str">
        <f>IF($A47="","",'System Data'!$G41)</f>
        <v/>
      </c>
      <c r="C47" s="37" t="str">
        <f>IF($A47="","",'System Data'!$I41)</f>
        <v/>
      </c>
      <c r="D47" s="37" t="str">
        <f>IF($A47="","",'System Data'!$K41)</f>
        <v/>
      </c>
      <c r="E47" s="40" t="str">
        <f>IF($A47="","",'System Data'!$L41)</f>
        <v/>
      </c>
      <c r="F47" s="43" t="str">
        <f>IF($A47="","",'System Data'!$O41)</f>
        <v/>
      </c>
      <c r="G47" s="46" t="str">
        <f>IF($A47="","",'System Data'!$N41)</f>
        <v/>
      </c>
    </row>
    <row r="48" spans="1:7" ht="24" customHeight="1">
      <c r="A48" s="31" t="str">
        <f>IF('System Data'!$B42="","",'System Data'!$B42)</f>
        <v/>
      </c>
      <c r="B48" s="34" t="str">
        <f>IF($A48="","",'System Data'!$G42)</f>
        <v/>
      </c>
      <c r="C48" s="37" t="str">
        <f>IF($A48="","",'System Data'!$I42)</f>
        <v/>
      </c>
      <c r="D48" s="37" t="str">
        <f>IF($A48="","",'System Data'!$K42)</f>
        <v/>
      </c>
      <c r="E48" s="40" t="str">
        <f>IF($A48="","",'System Data'!$L42)</f>
        <v/>
      </c>
      <c r="F48" s="43" t="str">
        <f>IF($A48="","",'System Data'!$O42)</f>
        <v/>
      </c>
      <c r="G48" s="46" t="str">
        <f>IF($A48="","",'System Data'!$N42)</f>
        <v/>
      </c>
    </row>
    <row r="49" spans="1:7" ht="24" customHeight="1">
      <c r="A49" s="31" t="str">
        <f>IF('System Data'!$B43="","",'System Data'!$B43)</f>
        <v/>
      </c>
      <c r="B49" s="34" t="str">
        <f>IF($A49="","",'System Data'!$G43)</f>
        <v/>
      </c>
      <c r="C49" s="37" t="str">
        <f>IF($A49="","",'System Data'!$I43)</f>
        <v/>
      </c>
      <c r="D49" s="37" t="str">
        <f>IF($A49="","",'System Data'!$K43)</f>
        <v/>
      </c>
      <c r="E49" s="40" t="str">
        <f>IF($A49="","",'System Data'!$L43)</f>
        <v/>
      </c>
      <c r="F49" s="43" t="str">
        <f>IF($A49="","",'System Data'!$O43)</f>
        <v/>
      </c>
      <c r="G49" s="46" t="str">
        <f>IF($A49="","",'System Data'!$N43)</f>
        <v/>
      </c>
    </row>
    <row r="50" spans="1:7" ht="24" customHeight="1">
      <c r="A50" s="31" t="str">
        <f>IF('System Data'!$B44="","",'System Data'!$B44)</f>
        <v/>
      </c>
      <c r="B50" s="34" t="str">
        <f>IF($A50="","",'System Data'!$G44)</f>
        <v/>
      </c>
      <c r="C50" s="37" t="str">
        <f>IF($A50="","",'System Data'!$I44)</f>
        <v/>
      </c>
      <c r="D50" s="37" t="str">
        <f>IF($A50="","",'System Data'!$K44)</f>
        <v/>
      </c>
      <c r="E50" s="40" t="str">
        <f>IF($A50="","",'System Data'!$L44)</f>
        <v/>
      </c>
      <c r="F50" s="43" t="str">
        <f>IF($A50="","",'System Data'!$O44)</f>
        <v/>
      </c>
      <c r="G50" s="46" t="str">
        <f>IF($A50="","",'System Data'!$N44)</f>
        <v/>
      </c>
    </row>
    <row r="51" spans="1:7" ht="24" customHeight="1">
      <c r="A51" s="31" t="str">
        <f>IF('System Data'!$B45="","",'System Data'!$B45)</f>
        <v/>
      </c>
      <c r="B51" s="34" t="str">
        <f>IF($A51="","",'System Data'!$G45)</f>
        <v/>
      </c>
      <c r="C51" s="37" t="str">
        <f>IF($A51="","",'System Data'!$I45)</f>
        <v/>
      </c>
      <c r="D51" s="37" t="str">
        <f>IF($A51="","",'System Data'!$K45)</f>
        <v/>
      </c>
      <c r="E51" s="40" t="str">
        <f>IF($A51="","",'System Data'!$L45)</f>
        <v/>
      </c>
      <c r="F51" s="43" t="str">
        <f>IF($A51="","",'System Data'!$O45)</f>
        <v/>
      </c>
      <c r="G51" s="46" t="str">
        <f>IF($A51="","",'System Data'!$N45)</f>
        <v/>
      </c>
    </row>
    <row r="52" spans="1:7" ht="24" customHeight="1">
      <c r="A52" s="31" t="str">
        <f>IF('System Data'!$B46="","",'System Data'!$B46)</f>
        <v/>
      </c>
      <c r="B52" s="34" t="str">
        <f>IF($A52="","",'System Data'!$G46)</f>
        <v/>
      </c>
      <c r="C52" s="37" t="str">
        <f>IF($A52="","",'System Data'!$I46)</f>
        <v/>
      </c>
      <c r="D52" s="37" t="str">
        <f>IF($A52="","",'System Data'!$K46)</f>
        <v/>
      </c>
      <c r="E52" s="40" t="str">
        <f>IF($A52="","",'System Data'!$L46)</f>
        <v/>
      </c>
      <c r="F52" s="43" t="str">
        <f>IF($A52="","",'System Data'!$O46)</f>
        <v/>
      </c>
      <c r="G52" s="46" t="str">
        <f>IF($A52="","",'System Data'!$N46)</f>
        <v/>
      </c>
    </row>
    <row r="53" spans="1:7" ht="24" customHeight="1">
      <c r="A53" s="31" t="str">
        <f>IF('System Data'!$B47="","",'System Data'!$B47)</f>
        <v/>
      </c>
      <c r="B53" s="34" t="str">
        <f>IF($A53="","",'System Data'!$G47)</f>
        <v/>
      </c>
      <c r="C53" s="37" t="str">
        <f>IF($A53="","",'System Data'!$I47)</f>
        <v/>
      </c>
      <c r="D53" s="37" t="str">
        <f>IF($A53="","",'System Data'!$K47)</f>
        <v/>
      </c>
      <c r="E53" s="40" t="str">
        <f>IF($A53="","",'System Data'!$L47)</f>
        <v/>
      </c>
      <c r="F53" s="43" t="str">
        <f>IF($A53="","",'System Data'!$O47)</f>
        <v/>
      </c>
      <c r="G53" s="46" t="str">
        <f>IF($A53="","",'System Data'!$N47)</f>
        <v/>
      </c>
    </row>
    <row r="54" spans="1:7" ht="24" customHeight="1">
      <c r="A54" s="31" t="str">
        <f>IF('System Data'!$B48="","",'System Data'!$B48)</f>
        <v/>
      </c>
      <c r="B54" s="34" t="str">
        <f>IF($A54="","",'System Data'!$G48)</f>
        <v/>
      </c>
      <c r="C54" s="37" t="str">
        <f>IF($A54="","",'System Data'!$I48)</f>
        <v/>
      </c>
      <c r="D54" s="37" t="str">
        <f>IF($A54="","",'System Data'!$K48)</f>
        <v/>
      </c>
      <c r="E54" s="40" t="str">
        <f>IF($A54="","",'System Data'!$L48)</f>
        <v/>
      </c>
      <c r="F54" s="43" t="str">
        <f>IF($A54="","",'System Data'!$O48)</f>
        <v/>
      </c>
      <c r="G54" s="46" t="str">
        <f>IF($A54="","",'System Data'!$N48)</f>
        <v/>
      </c>
    </row>
    <row r="55" spans="1:7" ht="24" customHeight="1">
      <c r="A55" s="31" t="str">
        <f>IF('System Data'!$B49="","",'System Data'!$B49)</f>
        <v/>
      </c>
      <c r="B55" s="34" t="str">
        <f>IF($A55="","",'System Data'!$G49)</f>
        <v/>
      </c>
      <c r="C55" s="37" t="str">
        <f>IF($A55="","",'System Data'!$I49)</f>
        <v/>
      </c>
      <c r="D55" s="37" t="str">
        <f>IF($A55="","",'System Data'!$K49)</f>
        <v/>
      </c>
      <c r="E55" s="40" t="str">
        <f>IF($A55="","",'System Data'!$L49)</f>
        <v/>
      </c>
      <c r="F55" s="43" t="str">
        <f>IF($A55="","",'System Data'!$O49)</f>
        <v/>
      </c>
      <c r="G55" s="46" t="str">
        <f>IF($A55="","",'System Data'!$N49)</f>
        <v/>
      </c>
    </row>
    <row r="56" spans="1:7" ht="24" customHeight="1">
      <c r="A56" s="31" t="str">
        <f>IF('System Data'!$B50="","",'System Data'!$B50)</f>
        <v/>
      </c>
      <c r="B56" s="34" t="str">
        <f>IF($A56="","",'System Data'!$G50)</f>
        <v/>
      </c>
      <c r="C56" s="37" t="str">
        <f>IF($A56="","",'System Data'!$I50)</f>
        <v/>
      </c>
      <c r="D56" s="37" t="str">
        <f>IF($A56="","",'System Data'!$K50)</f>
        <v/>
      </c>
      <c r="E56" s="40" t="str">
        <f>IF($A56="","",'System Data'!$L50)</f>
        <v/>
      </c>
      <c r="F56" s="43" t="str">
        <f>IF($A56="","",'System Data'!$O50)</f>
        <v/>
      </c>
      <c r="G56" s="46" t="str">
        <f>IF($A56="","",'System Data'!$N50)</f>
        <v/>
      </c>
    </row>
    <row r="57" spans="1:7" ht="24" customHeight="1">
      <c r="A57" s="31" t="str">
        <f>IF('System Data'!$B51="","",'System Data'!$B51)</f>
        <v/>
      </c>
      <c r="B57" s="34" t="str">
        <f>IF($A57="","",'System Data'!$G51)</f>
        <v/>
      </c>
      <c r="C57" s="37" t="str">
        <f>IF($A57="","",'System Data'!$I51)</f>
        <v/>
      </c>
      <c r="D57" s="37" t="str">
        <f>IF($A57="","",'System Data'!$K51)</f>
        <v/>
      </c>
      <c r="E57" s="40" t="str">
        <f>IF($A57="","",'System Data'!$L51)</f>
        <v/>
      </c>
      <c r="F57" s="43" t="str">
        <f>IF($A57="","",'System Data'!$O51)</f>
        <v/>
      </c>
      <c r="G57" s="46" t="str">
        <f>IF($A57="","",'System Data'!$N51)</f>
        <v/>
      </c>
    </row>
    <row r="58" spans="1:7" ht="24" customHeight="1">
      <c r="A58" s="31" t="str">
        <f>IF('System Data'!$B52="","",'System Data'!$B52)</f>
        <v/>
      </c>
      <c r="B58" s="34" t="str">
        <f>IF($A58="","",'System Data'!$G52)</f>
        <v/>
      </c>
      <c r="C58" s="37" t="str">
        <f>IF($A58="","",'System Data'!$I52)</f>
        <v/>
      </c>
      <c r="D58" s="37" t="str">
        <f>IF($A58="","",'System Data'!$K52)</f>
        <v/>
      </c>
      <c r="E58" s="40" t="str">
        <f>IF($A58="","",'System Data'!$L52)</f>
        <v/>
      </c>
      <c r="F58" s="43" t="str">
        <f>IF($A58="","",'System Data'!$O52)</f>
        <v/>
      </c>
      <c r="G58" s="46" t="str">
        <f>IF($A58="","",'System Data'!$N52)</f>
        <v/>
      </c>
    </row>
    <row r="59" spans="1:7" ht="24" customHeight="1">
      <c r="A59" s="31" t="str">
        <f>IF('System Data'!$B53="","",'System Data'!$B53)</f>
        <v/>
      </c>
      <c r="B59" s="34" t="str">
        <f>IF($A59="","",'System Data'!$G53)</f>
        <v/>
      </c>
      <c r="C59" s="37" t="str">
        <f>IF($A59="","",'System Data'!$I53)</f>
        <v/>
      </c>
      <c r="D59" s="37" t="str">
        <f>IF($A59="","",'System Data'!$K53)</f>
        <v/>
      </c>
      <c r="E59" s="40" t="str">
        <f>IF($A59="","",'System Data'!$L53)</f>
        <v/>
      </c>
      <c r="F59" s="43" t="str">
        <f>IF($A59="","",'System Data'!$O53)</f>
        <v/>
      </c>
      <c r="G59" s="46" t="str">
        <f>IF($A59="","",'System Data'!$N53)</f>
        <v/>
      </c>
    </row>
    <row r="60" spans="1:7" ht="24" customHeight="1">
      <c r="A60" s="31" t="str">
        <f>IF('System Data'!$B54="","",'System Data'!$B54)</f>
        <v/>
      </c>
      <c r="B60" s="34" t="str">
        <f>IF($A60="","",'System Data'!$G54)</f>
        <v/>
      </c>
      <c r="C60" s="37" t="str">
        <f>IF($A60="","",'System Data'!$I54)</f>
        <v/>
      </c>
      <c r="D60" s="37" t="str">
        <f>IF($A60="","",'System Data'!$K54)</f>
        <v/>
      </c>
      <c r="E60" s="40" t="str">
        <f>IF($A60="","",'System Data'!$L54)</f>
        <v/>
      </c>
      <c r="F60" s="43" t="str">
        <f>IF($A60="","",'System Data'!$O54)</f>
        <v/>
      </c>
      <c r="G60" s="46" t="str">
        <f>IF($A60="","",'System Data'!$N54)</f>
        <v/>
      </c>
    </row>
    <row r="61" spans="1:7" ht="24" customHeight="1">
      <c r="A61" s="32" t="str">
        <f>IF('System Data'!$B55="","",'System Data'!$B55)</f>
        <v/>
      </c>
      <c r="B61" s="35" t="str">
        <f>IF($A61="","",'System Data'!$G55)</f>
        <v/>
      </c>
      <c r="C61" s="38" t="str">
        <f>IF($A61="","",'System Data'!$I55)</f>
        <v/>
      </c>
      <c r="D61" s="38" t="str">
        <f>IF($A61="","",'System Data'!$K55)</f>
        <v/>
      </c>
      <c r="E61" s="41" t="str">
        <f>IF($A61="","",'System Data'!$L55)</f>
        <v/>
      </c>
      <c r="F61" s="44" t="str">
        <f>IF($A61="","",'System Data'!$O55)</f>
        <v/>
      </c>
      <c r="G61" s="47" t="str">
        <f>IF($A61="","",'System Data'!$N55)</f>
        <v/>
      </c>
    </row>
    <row r="62" spans="1:7" ht="28" customHeight="1">
      <c r="A62" s="48" t="s">
        <v>14</v>
      </c>
      <c r="B62" s="49">
        <f>SUM(B12:B61)</f>
        <v>2010</v>
      </c>
      <c r="C62" s="48"/>
      <c r="D62" s="50">
        <f>SUM(D12:D61)</f>
        <v>140679.90000000002</v>
      </c>
      <c r="E62" s="50">
        <f>SUM(E12:E61)</f>
        <v>21101.99</v>
      </c>
      <c r="F62" s="51">
        <f>SUM(F12:F61)</f>
        <v>380</v>
      </c>
      <c r="G62" s="52">
        <f>IFERROR(SUM('System Data'!$M$6:$M$55)/D62,0)</f>
        <v>0.41174133618235431</v>
      </c>
    </row>
    <row r="64" spans="1:7" ht="34" customHeight="1">
      <c r="A64" s="73" t="s">
        <v>15</v>
      </c>
      <c r="B64" s="73"/>
      <c r="C64" s="73"/>
      <c r="D64" s="73"/>
      <c r="E64" s="73"/>
      <c r="F64" s="73"/>
      <c r="G64" s="73"/>
    </row>
  </sheetData>
  <mergeCells count="16">
    <mergeCell ref="C8:D8"/>
    <mergeCell ref="E8:F8"/>
    <mergeCell ref="A10:E10"/>
    <mergeCell ref="F10:G10"/>
    <mergeCell ref="A64:G64"/>
    <mergeCell ref="A5:B5"/>
    <mergeCell ref="C5:D5"/>
    <mergeCell ref="E5:G5"/>
    <mergeCell ref="A6:B7"/>
    <mergeCell ref="C6:D7"/>
    <mergeCell ref="E6:G7"/>
    <mergeCell ref="A1:G1"/>
    <mergeCell ref="A2:E2"/>
    <mergeCell ref="F2:G2"/>
    <mergeCell ref="A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showGridLines="0" workbookViewId="0">
      <selection sqref="A1:O1"/>
    </sheetView>
  </sheetViews>
  <sheetFormatPr defaultRowHeight="14"/>
  <cols>
    <col min="1" max="1" width="14" customWidth="1"/>
    <col min="2" max="2" width="34" customWidth="1"/>
    <col min="3" max="3" width="24" customWidth="1"/>
    <col min="4" max="4" width="13" customWidth="1"/>
    <col min="5" max="8" width="17" customWidth="1"/>
    <col min="9" max="13" width="18" customWidth="1"/>
    <col min="14" max="14" width="16" customWidth="1"/>
    <col min="15" max="15" width="15" customWidth="1"/>
  </cols>
  <sheetData>
    <row r="1" spans="1:15" ht="32" customHeight="1">
      <c r="A1" s="74" t="s">
        <v>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4.5">
      <c r="A2" s="75" t="s">
        <v>17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4" spans="1:15">
      <c r="A4" s="76" t="s">
        <v>18</v>
      </c>
      <c r="B4" s="76"/>
      <c r="C4" s="76"/>
      <c r="D4" s="76"/>
      <c r="E4" s="76"/>
      <c r="F4" s="76"/>
      <c r="G4" s="76"/>
      <c r="H4" s="76"/>
      <c r="I4" s="76"/>
      <c r="J4" s="76"/>
      <c r="K4" s="77" t="s">
        <v>19</v>
      </c>
      <c r="L4" s="77"/>
      <c r="M4" s="77"/>
      <c r="N4" s="77"/>
      <c r="O4" s="77"/>
    </row>
    <row r="5" spans="1:15" ht="38" customHeight="1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7" t="s">
        <v>32</v>
      </c>
      <c r="N5" s="7" t="s">
        <v>33</v>
      </c>
      <c r="O5" s="8" t="s">
        <v>34</v>
      </c>
    </row>
    <row r="6" spans="1:15" ht="22" customHeight="1">
      <c r="A6" s="9" t="s">
        <v>35</v>
      </c>
      <c r="B6" s="9" t="s">
        <v>36</v>
      </c>
      <c r="C6" s="9" t="s">
        <v>37</v>
      </c>
      <c r="D6" s="9" t="s">
        <v>38</v>
      </c>
      <c r="E6" s="12">
        <v>240</v>
      </c>
      <c r="F6" s="12">
        <v>800</v>
      </c>
      <c r="G6" s="12">
        <v>840</v>
      </c>
      <c r="H6" s="12">
        <v>0</v>
      </c>
      <c r="I6" s="15">
        <v>69.989999999999995</v>
      </c>
      <c r="J6" s="15">
        <v>40.244250000000001</v>
      </c>
      <c r="K6" s="16">
        <f t="shared" ref="K6:K37" si="0">IF(B6="","",ROUND(G6*I6,2))</f>
        <v>58791.6</v>
      </c>
      <c r="L6" s="16">
        <f>IF(B6="","",ROUND(K6*'Setup &amp; Guide'!$B$7,2))</f>
        <v>8818.74</v>
      </c>
      <c r="M6" s="16">
        <f t="shared" ref="M6:M37" si="1">IF(B6="","",ROUND(K6-(G6*J6),2))</f>
        <v>24986.43</v>
      </c>
      <c r="N6" s="21">
        <f t="shared" ref="N6:N37" si="2">IF(B6="","",IFERROR(M6/K6,0))</f>
        <v>0.42499999999999999</v>
      </c>
      <c r="O6" s="24">
        <f t="shared" ref="O6:O37" si="3">IF(B6="","",E6+F6+H6-G6)</f>
        <v>200</v>
      </c>
    </row>
    <row r="7" spans="1:15" ht="22" customHeight="1">
      <c r="A7" s="10" t="s">
        <v>39</v>
      </c>
      <c r="B7" s="10" t="s">
        <v>40</v>
      </c>
      <c r="C7" s="10" t="s">
        <v>37</v>
      </c>
      <c r="D7" s="10" t="s">
        <v>38</v>
      </c>
      <c r="E7" s="13">
        <v>150</v>
      </c>
      <c r="F7" s="13">
        <v>600</v>
      </c>
      <c r="G7" s="13">
        <v>650</v>
      </c>
      <c r="H7" s="13">
        <v>0</v>
      </c>
      <c r="I7" s="17">
        <v>69.989999999999995</v>
      </c>
      <c r="J7" s="17">
        <v>41.434080000000002</v>
      </c>
      <c r="K7" s="18">
        <f t="shared" si="0"/>
        <v>45493.5</v>
      </c>
      <c r="L7" s="18">
        <f>IF(B7="","",ROUND(K7*'Setup &amp; Guide'!$B$7,2))</f>
        <v>6824.03</v>
      </c>
      <c r="M7" s="18">
        <f t="shared" si="1"/>
        <v>18561.349999999999</v>
      </c>
      <c r="N7" s="22">
        <f t="shared" si="2"/>
        <v>0.40800004396232425</v>
      </c>
      <c r="O7" s="25">
        <f t="shared" si="3"/>
        <v>100</v>
      </c>
    </row>
    <row r="8" spans="1:15" ht="22" customHeight="1">
      <c r="A8" s="10" t="s">
        <v>41</v>
      </c>
      <c r="B8" s="10" t="s">
        <v>42</v>
      </c>
      <c r="C8" s="10" t="s">
        <v>37</v>
      </c>
      <c r="D8" s="10" t="s">
        <v>38</v>
      </c>
      <c r="E8" s="13">
        <v>100</v>
      </c>
      <c r="F8" s="13">
        <v>500</v>
      </c>
      <c r="G8" s="13">
        <v>520</v>
      </c>
      <c r="H8" s="13">
        <v>0</v>
      </c>
      <c r="I8" s="17">
        <v>69.989999999999995</v>
      </c>
      <c r="J8" s="17">
        <v>42.34395</v>
      </c>
      <c r="K8" s="18">
        <f t="shared" si="0"/>
        <v>36394.800000000003</v>
      </c>
      <c r="L8" s="18">
        <f>IF(B8="","",ROUND(K8*'Setup &amp; Guide'!$B$7,2))</f>
        <v>5459.22</v>
      </c>
      <c r="M8" s="18">
        <f t="shared" si="1"/>
        <v>14375.95</v>
      </c>
      <c r="N8" s="22">
        <f t="shared" si="2"/>
        <v>0.39500010990581069</v>
      </c>
      <c r="O8" s="25">
        <f t="shared" si="3"/>
        <v>80</v>
      </c>
    </row>
    <row r="9" spans="1:15" ht="22" customHeight="1">
      <c r="A9" s="10"/>
      <c r="B9" s="10"/>
      <c r="C9" s="10"/>
      <c r="D9" s="10"/>
      <c r="E9" s="13"/>
      <c r="F9" s="13"/>
      <c r="G9" s="13"/>
      <c r="H9" s="13"/>
      <c r="I9" s="17"/>
      <c r="J9" s="17"/>
      <c r="K9" s="18" t="str">
        <f t="shared" si="0"/>
        <v/>
      </c>
      <c r="L9" s="18" t="str">
        <f>IF(B9="","",ROUND(K9*'Setup &amp; Guide'!$B$7,2))</f>
        <v/>
      </c>
      <c r="M9" s="18" t="str">
        <f t="shared" si="1"/>
        <v/>
      </c>
      <c r="N9" s="22" t="str">
        <f t="shared" si="2"/>
        <v/>
      </c>
      <c r="O9" s="25" t="str">
        <f t="shared" si="3"/>
        <v/>
      </c>
    </row>
    <row r="10" spans="1:15" ht="22" customHeight="1">
      <c r="A10" s="10"/>
      <c r="B10" s="10"/>
      <c r="C10" s="10"/>
      <c r="D10" s="10"/>
      <c r="E10" s="13"/>
      <c r="F10" s="13"/>
      <c r="G10" s="13"/>
      <c r="H10" s="13"/>
      <c r="I10" s="17"/>
      <c r="J10" s="17"/>
      <c r="K10" s="18" t="str">
        <f t="shared" si="0"/>
        <v/>
      </c>
      <c r="L10" s="18" t="str">
        <f>IF(B10="","",ROUND(K10*'Setup &amp; Guide'!$B$7,2))</f>
        <v/>
      </c>
      <c r="M10" s="18" t="str">
        <f t="shared" si="1"/>
        <v/>
      </c>
      <c r="N10" s="22" t="str">
        <f t="shared" si="2"/>
        <v/>
      </c>
      <c r="O10" s="25" t="str">
        <f t="shared" si="3"/>
        <v/>
      </c>
    </row>
    <row r="11" spans="1:15" ht="22" customHeight="1">
      <c r="A11" s="10"/>
      <c r="B11" s="10"/>
      <c r="C11" s="10"/>
      <c r="D11" s="10"/>
      <c r="E11" s="13"/>
      <c r="F11" s="13"/>
      <c r="G11" s="13"/>
      <c r="H11" s="13"/>
      <c r="I11" s="17"/>
      <c r="J11" s="17"/>
      <c r="K11" s="18" t="str">
        <f t="shared" si="0"/>
        <v/>
      </c>
      <c r="L11" s="18" t="str">
        <f>IF(B11="","",ROUND(K11*'Setup &amp; Guide'!$B$7,2))</f>
        <v/>
      </c>
      <c r="M11" s="18" t="str">
        <f t="shared" si="1"/>
        <v/>
      </c>
      <c r="N11" s="22" t="str">
        <f t="shared" si="2"/>
        <v/>
      </c>
      <c r="O11" s="25" t="str">
        <f t="shared" si="3"/>
        <v/>
      </c>
    </row>
    <row r="12" spans="1:15" ht="22" customHeight="1">
      <c r="A12" s="10"/>
      <c r="B12" s="10"/>
      <c r="C12" s="10"/>
      <c r="D12" s="10"/>
      <c r="E12" s="13"/>
      <c r="F12" s="13"/>
      <c r="G12" s="13"/>
      <c r="H12" s="13"/>
      <c r="I12" s="17"/>
      <c r="J12" s="17"/>
      <c r="K12" s="18" t="str">
        <f t="shared" si="0"/>
        <v/>
      </c>
      <c r="L12" s="18" t="str">
        <f>IF(B12="","",ROUND(K12*'Setup &amp; Guide'!$B$7,2))</f>
        <v/>
      </c>
      <c r="M12" s="18" t="str">
        <f t="shared" si="1"/>
        <v/>
      </c>
      <c r="N12" s="22" t="str">
        <f t="shared" si="2"/>
        <v/>
      </c>
      <c r="O12" s="25" t="str">
        <f t="shared" si="3"/>
        <v/>
      </c>
    </row>
    <row r="13" spans="1:15" ht="22" customHeight="1">
      <c r="A13" s="10"/>
      <c r="B13" s="10"/>
      <c r="C13" s="10"/>
      <c r="D13" s="10"/>
      <c r="E13" s="13"/>
      <c r="F13" s="13"/>
      <c r="G13" s="13"/>
      <c r="H13" s="13"/>
      <c r="I13" s="17"/>
      <c r="J13" s="17"/>
      <c r="K13" s="18" t="str">
        <f t="shared" si="0"/>
        <v/>
      </c>
      <c r="L13" s="18" t="str">
        <f>IF(B13="","",ROUND(K13*'Setup &amp; Guide'!$B$7,2))</f>
        <v/>
      </c>
      <c r="M13" s="18" t="str">
        <f t="shared" si="1"/>
        <v/>
      </c>
      <c r="N13" s="22" t="str">
        <f t="shared" si="2"/>
        <v/>
      </c>
      <c r="O13" s="25" t="str">
        <f t="shared" si="3"/>
        <v/>
      </c>
    </row>
    <row r="14" spans="1:15" ht="22" customHeight="1">
      <c r="A14" s="10"/>
      <c r="B14" s="10"/>
      <c r="C14" s="10"/>
      <c r="D14" s="10"/>
      <c r="E14" s="13"/>
      <c r="F14" s="13"/>
      <c r="G14" s="13"/>
      <c r="H14" s="13"/>
      <c r="I14" s="17"/>
      <c r="J14" s="17"/>
      <c r="K14" s="18" t="str">
        <f t="shared" si="0"/>
        <v/>
      </c>
      <c r="L14" s="18" t="str">
        <f>IF(B14="","",ROUND(K14*'Setup &amp; Guide'!$B$7,2))</f>
        <v/>
      </c>
      <c r="M14" s="18" t="str">
        <f t="shared" si="1"/>
        <v/>
      </c>
      <c r="N14" s="22" t="str">
        <f t="shared" si="2"/>
        <v/>
      </c>
      <c r="O14" s="25" t="str">
        <f t="shared" si="3"/>
        <v/>
      </c>
    </row>
    <row r="15" spans="1:15" ht="22" customHeight="1">
      <c r="A15" s="10"/>
      <c r="B15" s="10"/>
      <c r="C15" s="10"/>
      <c r="D15" s="10"/>
      <c r="E15" s="13"/>
      <c r="F15" s="13"/>
      <c r="G15" s="13"/>
      <c r="H15" s="13"/>
      <c r="I15" s="17"/>
      <c r="J15" s="17"/>
      <c r="K15" s="18" t="str">
        <f t="shared" si="0"/>
        <v/>
      </c>
      <c r="L15" s="18" t="str">
        <f>IF(B15="","",ROUND(K15*'Setup &amp; Guide'!$B$7,2))</f>
        <v/>
      </c>
      <c r="M15" s="18" t="str">
        <f t="shared" si="1"/>
        <v/>
      </c>
      <c r="N15" s="22" t="str">
        <f t="shared" si="2"/>
        <v/>
      </c>
      <c r="O15" s="25" t="str">
        <f t="shared" si="3"/>
        <v/>
      </c>
    </row>
    <row r="16" spans="1:15" ht="22" customHeight="1">
      <c r="A16" s="10"/>
      <c r="B16" s="10"/>
      <c r="C16" s="10"/>
      <c r="D16" s="10"/>
      <c r="E16" s="13"/>
      <c r="F16" s="13"/>
      <c r="G16" s="13"/>
      <c r="H16" s="13"/>
      <c r="I16" s="17"/>
      <c r="J16" s="17"/>
      <c r="K16" s="18" t="str">
        <f t="shared" si="0"/>
        <v/>
      </c>
      <c r="L16" s="18" t="str">
        <f>IF(B16="","",ROUND(K16*'Setup &amp; Guide'!$B$7,2))</f>
        <v/>
      </c>
      <c r="M16" s="18" t="str">
        <f t="shared" si="1"/>
        <v/>
      </c>
      <c r="N16" s="22" t="str">
        <f t="shared" si="2"/>
        <v/>
      </c>
      <c r="O16" s="25" t="str">
        <f t="shared" si="3"/>
        <v/>
      </c>
    </row>
    <row r="17" spans="1:15" ht="22" customHeight="1">
      <c r="A17" s="10"/>
      <c r="B17" s="10"/>
      <c r="C17" s="10"/>
      <c r="D17" s="10"/>
      <c r="E17" s="13"/>
      <c r="F17" s="13"/>
      <c r="G17" s="13"/>
      <c r="H17" s="13"/>
      <c r="I17" s="17"/>
      <c r="J17" s="17"/>
      <c r="K17" s="18" t="str">
        <f t="shared" si="0"/>
        <v/>
      </c>
      <c r="L17" s="18" t="str">
        <f>IF(B17="","",ROUND(K17*'Setup &amp; Guide'!$B$7,2))</f>
        <v/>
      </c>
      <c r="M17" s="18" t="str">
        <f t="shared" si="1"/>
        <v/>
      </c>
      <c r="N17" s="22" t="str">
        <f t="shared" si="2"/>
        <v/>
      </c>
      <c r="O17" s="25" t="str">
        <f t="shared" si="3"/>
        <v/>
      </c>
    </row>
    <row r="18" spans="1:15" ht="22" customHeight="1">
      <c r="A18" s="10"/>
      <c r="B18" s="10"/>
      <c r="C18" s="10"/>
      <c r="D18" s="10"/>
      <c r="E18" s="13"/>
      <c r="F18" s="13"/>
      <c r="G18" s="13"/>
      <c r="H18" s="13"/>
      <c r="I18" s="17"/>
      <c r="J18" s="17"/>
      <c r="K18" s="18" t="str">
        <f t="shared" si="0"/>
        <v/>
      </c>
      <c r="L18" s="18" t="str">
        <f>IF(B18="","",ROUND(K18*'Setup &amp; Guide'!$B$7,2))</f>
        <v/>
      </c>
      <c r="M18" s="18" t="str">
        <f t="shared" si="1"/>
        <v/>
      </c>
      <c r="N18" s="22" t="str">
        <f t="shared" si="2"/>
        <v/>
      </c>
      <c r="O18" s="25" t="str">
        <f t="shared" si="3"/>
        <v/>
      </c>
    </row>
    <row r="19" spans="1:15" ht="22" customHeight="1">
      <c r="A19" s="10"/>
      <c r="B19" s="10"/>
      <c r="C19" s="10"/>
      <c r="D19" s="10"/>
      <c r="E19" s="13"/>
      <c r="F19" s="13"/>
      <c r="G19" s="13"/>
      <c r="H19" s="13"/>
      <c r="I19" s="17"/>
      <c r="J19" s="17"/>
      <c r="K19" s="18" t="str">
        <f t="shared" si="0"/>
        <v/>
      </c>
      <c r="L19" s="18" t="str">
        <f>IF(B19="","",ROUND(K19*'Setup &amp; Guide'!$B$7,2))</f>
        <v/>
      </c>
      <c r="M19" s="18" t="str">
        <f t="shared" si="1"/>
        <v/>
      </c>
      <c r="N19" s="22" t="str">
        <f t="shared" si="2"/>
        <v/>
      </c>
      <c r="O19" s="25" t="str">
        <f t="shared" si="3"/>
        <v/>
      </c>
    </row>
    <row r="20" spans="1:15" ht="22" customHeight="1">
      <c r="A20" s="10"/>
      <c r="B20" s="10"/>
      <c r="C20" s="10"/>
      <c r="D20" s="10"/>
      <c r="E20" s="13"/>
      <c r="F20" s="13"/>
      <c r="G20" s="13"/>
      <c r="H20" s="13"/>
      <c r="I20" s="17"/>
      <c r="J20" s="17"/>
      <c r="K20" s="18" t="str">
        <f t="shared" si="0"/>
        <v/>
      </c>
      <c r="L20" s="18" t="str">
        <f>IF(B20="","",ROUND(K20*'Setup &amp; Guide'!$B$7,2))</f>
        <v/>
      </c>
      <c r="M20" s="18" t="str">
        <f t="shared" si="1"/>
        <v/>
      </c>
      <c r="N20" s="22" t="str">
        <f t="shared" si="2"/>
        <v/>
      </c>
      <c r="O20" s="25" t="str">
        <f t="shared" si="3"/>
        <v/>
      </c>
    </row>
    <row r="21" spans="1:15" ht="22" customHeight="1">
      <c r="A21" s="10"/>
      <c r="B21" s="10"/>
      <c r="C21" s="10"/>
      <c r="D21" s="10"/>
      <c r="E21" s="13"/>
      <c r="F21" s="13"/>
      <c r="G21" s="13"/>
      <c r="H21" s="13"/>
      <c r="I21" s="17"/>
      <c r="J21" s="17"/>
      <c r="K21" s="18" t="str">
        <f t="shared" si="0"/>
        <v/>
      </c>
      <c r="L21" s="18" t="str">
        <f>IF(B21="","",ROUND(K21*'Setup &amp; Guide'!$B$7,2))</f>
        <v/>
      </c>
      <c r="M21" s="18" t="str">
        <f t="shared" si="1"/>
        <v/>
      </c>
      <c r="N21" s="22" t="str">
        <f t="shared" si="2"/>
        <v/>
      </c>
      <c r="O21" s="25" t="str">
        <f t="shared" si="3"/>
        <v/>
      </c>
    </row>
    <row r="22" spans="1:15" ht="22" customHeight="1">
      <c r="A22" s="10"/>
      <c r="B22" s="10"/>
      <c r="C22" s="10"/>
      <c r="D22" s="10"/>
      <c r="E22" s="13"/>
      <c r="F22" s="13"/>
      <c r="G22" s="13"/>
      <c r="H22" s="13"/>
      <c r="I22" s="17"/>
      <c r="J22" s="17"/>
      <c r="K22" s="18" t="str">
        <f t="shared" si="0"/>
        <v/>
      </c>
      <c r="L22" s="18" t="str">
        <f>IF(B22="","",ROUND(K22*'Setup &amp; Guide'!$B$7,2))</f>
        <v/>
      </c>
      <c r="M22" s="18" t="str">
        <f t="shared" si="1"/>
        <v/>
      </c>
      <c r="N22" s="22" t="str">
        <f t="shared" si="2"/>
        <v/>
      </c>
      <c r="O22" s="25" t="str">
        <f t="shared" si="3"/>
        <v/>
      </c>
    </row>
    <row r="23" spans="1:15" ht="22" customHeight="1">
      <c r="A23" s="10"/>
      <c r="B23" s="10"/>
      <c r="C23" s="10"/>
      <c r="D23" s="10"/>
      <c r="E23" s="13"/>
      <c r="F23" s="13"/>
      <c r="G23" s="13"/>
      <c r="H23" s="13"/>
      <c r="I23" s="17"/>
      <c r="J23" s="17"/>
      <c r="K23" s="18" t="str">
        <f t="shared" si="0"/>
        <v/>
      </c>
      <c r="L23" s="18" t="str">
        <f>IF(B23="","",ROUND(K23*'Setup &amp; Guide'!$B$7,2))</f>
        <v/>
      </c>
      <c r="M23" s="18" t="str">
        <f t="shared" si="1"/>
        <v/>
      </c>
      <c r="N23" s="22" t="str">
        <f t="shared" si="2"/>
        <v/>
      </c>
      <c r="O23" s="25" t="str">
        <f t="shared" si="3"/>
        <v/>
      </c>
    </row>
    <row r="24" spans="1:15" ht="22" customHeight="1">
      <c r="A24" s="10"/>
      <c r="B24" s="10"/>
      <c r="C24" s="10"/>
      <c r="D24" s="10"/>
      <c r="E24" s="13"/>
      <c r="F24" s="13"/>
      <c r="G24" s="13"/>
      <c r="H24" s="13"/>
      <c r="I24" s="17"/>
      <c r="J24" s="17"/>
      <c r="K24" s="18" t="str">
        <f t="shared" si="0"/>
        <v/>
      </c>
      <c r="L24" s="18" t="str">
        <f>IF(B24="","",ROUND(K24*'Setup &amp; Guide'!$B$7,2))</f>
        <v/>
      </c>
      <c r="M24" s="18" t="str">
        <f t="shared" si="1"/>
        <v/>
      </c>
      <c r="N24" s="22" t="str">
        <f t="shared" si="2"/>
        <v/>
      </c>
      <c r="O24" s="25" t="str">
        <f t="shared" si="3"/>
        <v/>
      </c>
    </row>
    <row r="25" spans="1:15" ht="22" customHeight="1">
      <c r="A25" s="10"/>
      <c r="B25" s="10"/>
      <c r="C25" s="10"/>
      <c r="D25" s="10"/>
      <c r="E25" s="13"/>
      <c r="F25" s="13"/>
      <c r="G25" s="13"/>
      <c r="H25" s="13"/>
      <c r="I25" s="17"/>
      <c r="J25" s="17"/>
      <c r="K25" s="18" t="str">
        <f t="shared" si="0"/>
        <v/>
      </c>
      <c r="L25" s="18" t="str">
        <f>IF(B25="","",ROUND(K25*'Setup &amp; Guide'!$B$7,2))</f>
        <v/>
      </c>
      <c r="M25" s="18" t="str">
        <f t="shared" si="1"/>
        <v/>
      </c>
      <c r="N25" s="22" t="str">
        <f t="shared" si="2"/>
        <v/>
      </c>
      <c r="O25" s="25" t="str">
        <f t="shared" si="3"/>
        <v/>
      </c>
    </row>
    <row r="26" spans="1:15" ht="22" customHeight="1">
      <c r="A26" s="10"/>
      <c r="B26" s="10"/>
      <c r="C26" s="10"/>
      <c r="D26" s="10"/>
      <c r="E26" s="13"/>
      <c r="F26" s="13"/>
      <c r="G26" s="13"/>
      <c r="H26" s="13"/>
      <c r="I26" s="17"/>
      <c r="J26" s="17"/>
      <c r="K26" s="18" t="str">
        <f t="shared" si="0"/>
        <v/>
      </c>
      <c r="L26" s="18" t="str">
        <f>IF(B26="","",ROUND(K26*'Setup &amp; Guide'!$B$7,2))</f>
        <v/>
      </c>
      <c r="M26" s="18" t="str">
        <f t="shared" si="1"/>
        <v/>
      </c>
      <c r="N26" s="22" t="str">
        <f t="shared" si="2"/>
        <v/>
      </c>
      <c r="O26" s="25" t="str">
        <f t="shared" si="3"/>
        <v/>
      </c>
    </row>
    <row r="27" spans="1:15" ht="22" customHeight="1">
      <c r="A27" s="10"/>
      <c r="B27" s="10"/>
      <c r="C27" s="10"/>
      <c r="D27" s="10"/>
      <c r="E27" s="13"/>
      <c r="F27" s="13"/>
      <c r="G27" s="13"/>
      <c r="H27" s="13"/>
      <c r="I27" s="17"/>
      <c r="J27" s="17"/>
      <c r="K27" s="18" t="str">
        <f t="shared" si="0"/>
        <v/>
      </c>
      <c r="L27" s="18" t="str">
        <f>IF(B27="","",ROUND(K27*'Setup &amp; Guide'!$B$7,2))</f>
        <v/>
      </c>
      <c r="M27" s="18" t="str">
        <f t="shared" si="1"/>
        <v/>
      </c>
      <c r="N27" s="22" t="str">
        <f t="shared" si="2"/>
        <v/>
      </c>
      <c r="O27" s="25" t="str">
        <f t="shared" si="3"/>
        <v/>
      </c>
    </row>
    <row r="28" spans="1:15" ht="22" customHeight="1">
      <c r="A28" s="10"/>
      <c r="B28" s="10"/>
      <c r="C28" s="10"/>
      <c r="D28" s="10"/>
      <c r="E28" s="13"/>
      <c r="F28" s="13"/>
      <c r="G28" s="13"/>
      <c r="H28" s="13"/>
      <c r="I28" s="17"/>
      <c r="J28" s="17"/>
      <c r="K28" s="18" t="str">
        <f t="shared" si="0"/>
        <v/>
      </c>
      <c r="L28" s="18" t="str">
        <f>IF(B28="","",ROUND(K28*'Setup &amp; Guide'!$B$7,2))</f>
        <v/>
      </c>
      <c r="M28" s="18" t="str">
        <f t="shared" si="1"/>
        <v/>
      </c>
      <c r="N28" s="22" t="str">
        <f t="shared" si="2"/>
        <v/>
      </c>
      <c r="O28" s="25" t="str">
        <f t="shared" si="3"/>
        <v/>
      </c>
    </row>
    <row r="29" spans="1:15" ht="22" customHeight="1">
      <c r="A29" s="10"/>
      <c r="B29" s="10"/>
      <c r="C29" s="10"/>
      <c r="D29" s="10"/>
      <c r="E29" s="13"/>
      <c r="F29" s="13"/>
      <c r="G29" s="13"/>
      <c r="H29" s="13"/>
      <c r="I29" s="17"/>
      <c r="J29" s="17"/>
      <c r="K29" s="18" t="str">
        <f t="shared" si="0"/>
        <v/>
      </c>
      <c r="L29" s="18" t="str">
        <f>IF(B29="","",ROUND(K29*'Setup &amp; Guide'!$B$7,2))</f>
        <v/>
      </c>
      <c r="M29" s="18" t="str">
        <f t="shared" si="1"/>
        <v/>
      </c>
      <c r="N29" s="22" t="str">
        <f t="shared" si="2"/>
        <v/>
      </c>
      <c r="O29" s="25" t="str">
        <f t="shared" si="3"/>
        <v/>
      </c>
    </row>
    <row r="30" spans="1:15" ht="22" customHeight="1">
      <c r="A30" s="10"/>
      <c r="B30" s="10"/>
      <c r="C30" s="10"/>
      <c r="D30" s="10"/>
      <c r="E30" s="13"/>
      <c r="F30" s="13"/>
      <c r="G30" s="13"/>
      <c r="H30" s="13"/>
      <c r="I30" s="17"/>
      <c r="J30" s="17"/>
      <c r="K30" s="18" t="str">
        <f t="shared" si="0"/>
        <v/>
      </c>
      <c r="L30" s="18" t="str">
        <f>IF(B30="","",ROUND(K30*'Setup &amp; Guide'!$B$7,2))</f>
        <v/>
      </c>
      <c r="M30" s="18" t="str">
        <f t="shared" si="1"/>
        <v/>
      </c>
      <c r="N30" s="22" t="str">
        <f t="shared" si="2"/>
        <v/>
      </c>
      <c r="O30" s="25" t="str">
        <f t="shared" si="3"/>
        <v/>
      </c>
    </row>
    <row r="31" spans="1:15" ht="22" customHeight="1">
      <c r="A31" s="10"/>
      <c r="B31" s="10"/>
      <c r="C31" s="10"/>
      <c r="D31" s="10"/>
      <c r="E31" s="13"/>
      <c r="F31" s="13"/>
      <c r="G31" s="13"/>
      <c r="H31" s="13"/>
      <c r="I31" s="17"/>
      <c r="J31" s="17"/>
      <c r="K31" s="18" t="str">
        <f t="shared" si="0"/>
        <v/>
      </c>
      <c r="L31" s="18" t="str">
        <f>IF(B31="","",ROUND(K31*'Setup &amp; Guide'!$B$7,2))</f>
        <v/>
      </c>
      <c r="M31" s="18" t="str">
        <f t="shared" si="1"/>
        <v/>
      </c>
      <c r="N31" s="22" t="str">
        <f t="shared" si="2"/>
        <v/>
      </c>
      <c r="O31" s="25" t="str">
        <f t="shared" si="3"/>
        <v/>
      </c>
    </row>
    <row r="32" spans="1:15" ht="22" customHeight="1">
      <c r="A32" s="10"/>
      <c r="B32" s="10"/>
      <c r="C32" s="10"/>
      <c r="D32" s="10"/>
      <c r="E32" s="13"/>
      <c r="F32" s="13"/>
      <c r="G32" s="13"/>
      <c r="H32" s="13"/>
      <c r="I32" s="17"/>
      <c r="J32" s="17"/>
      <c r="K32" s="18" t="str">
        <f t="shared" si="0"/>
        <v/>
      </c>
      <c r="L32" s="18" t="str">
        <f>IF(B32="","",ROUND(K32*'Setup &amp; Guide'!$B$7,2))</f>
        <v/>
      </c>
      <c r="M32" s="18" t="str">
        <f t="shared" si="1"/>
        <v/>
      </c>
      <c r="N32" s="22" t="str">
        <f t="shared" si="2"/>
        <v/>
      </c>
      <c r="O32" s="25" t="str">
        <f t="shared" si="3"/>
        <v/>
      </c>
    </row>
    <row r="33" spans="1:15" ht="22" customHeight="1">
      <c r="A33" s="10"/>
      <c r="B33" s="10"/>
      <c r="C33" s="10"/>
      <c r="D33" s="10"/>
      <c r="E33" s="13"/>
      <c r="F33" s="13"/>
      <c r="G33" s="13"/>
      <c r="H33" s="13"/>
      <c r="I33" s="17"/>
      <c r="J33" s="17"/>
      <c r="K33" s="18" t="str">
        <f t="shared" si="0"/>
        <v/>
      </c>
      <c r="L33" s="18" t="str">
        <f>IF(B33="","",ROUND(K33*'Setup &amp; Guide'!$B$7,2))</f>
        <v/>
      </c>
      <c r="M33" s="18" t="str">
        <f t="shared" si="1"/>
        <v/>
      </c>
      <c r="N33" s="22" t="str">
        <f t="shared" si="2"/>
        <v/>
      </c>
      <c r="O33" s="25" t="str">
        <f t="shared" si="3"/>
        <v/>
      </c>
    </row>
    <row r="34" spans="1:15" ht="22" customHeight="1">
      <c r="A34" s="10"/>
      <c r="B34" s="10"/>
      <c r="C34" s="10"/>
      <c r="D34" s="10"/>
      <c r="E34" s="13"/>
      <c r="F34" s="13"/>
      <c r="G34" s="13"/>
      <c r="H34" s="13"/>
      <c r="I34" s="17"/>
      <c r="J34" s="17"/>
      <c r="K34" s="18" t="str">
        <f t="shared" si="0"/>
        <v/>
      </c>
      <c r="L34" s="18" t="str">
        <f>IF(B34="","",ROUND(K34*'Setup &amp; Guide'!$B$7,2))</f>
        <v/>
      </c>
      <c r="M34" s="18" t="str">
        <f t="shared" si="1"/>
        <v/>
      </c>
      <c r="N34" s="22" t="str">
        <f t="shared" si="2"/>
        <v/>
      </c>
      <c r="O34" s="25" t="str">
        <f t="shared" si="3"/>
        <v/>
      </c>
    </row>
    <row r="35" spans="1:15" ht="22" customHeight="1">
      <c r="A35" s="10"/>
      <c r="B35" s="10"/>
      <c r="C35" s="10"/>
      <c r="D35" s="10"/>
      <c r="E35" s="13"/>
      <c r="F35" s="13"/>
      <c r="G35" s="13"/>
      <c r="H35" s="13"/>
      <c r="I35" s="17"/>
      <c r="J35" s="17"/>
      <c r="K35" s="18" t="str">
        <f t="shared" si="0"/>
        <v/>
      </c>
      <c r="L35" s="18" t="str">
        <f>IF(B35="","",ROUND(K35*'Setup &amp; Guide'!$B$7,2))</f>
        <v/>
      </c>
      <c r="M35" s="18" t="str">
        <f t="shared" si="1"/>
        <v/>
      </c>
      <c r="N35" s="22" t="str">
        <f t="shared" si="2"/>
        <v/>
      </c>
      <c r="O35" s="25" t="str">
        <f t="shared" si="3"/>
        <v/>
      </c>
    </row>
    <row r="36" spans="1:15" ht="22" customHeight="1">
      <c r="A36" s="10"/>
      <c r="B36" s="10"/>
      <c r="C36" s="10"/>
      <c r="D36" s="10"/>
      <c r="E36" s="13"/>
      <c r="F36" s="13"/>
      <c r="G36" s="13"/>
      <c r="H36" s="13"/>
      <c r="I36" s="17"/>
      <c r="J36" s="17"/>
      <c r="K36" s="18" t="str">
        <f t="shared" si="0"/>
        <v/>
      </c>
      <c r="L36" s="18" t="str">
        <f>IF(B36="","",ROUND(K36*'Setup &amp; Guide'!$B$7,2))</f>
        <v/>
      </c>
      <c r="M36" s="18" t="str">
        <f t="shared" si="1"/>
        <v/>
      </c>
      <c r="N36" s="22" t="str">
        <f t="shared" si="2"/>
        <v/>
      </c>
      <c r="O36" s="25" t="str">
        <f t="shared" si="3"/>
        <v/>
      </c>
    </row>
    <row r="37" spans="1:15" ht="22" customHeight="1">
      <c r="A37" s="10"/>
      <c r="B37" s="10"/>
      <c r="C37" s="10"/>
      <c r="D37" s="10"/>
      <c r="E37" s="13"/>
      <c r="F37" s="13"/>
      <c r="G37" s="13"/>
      <c r="H37" s="13"/>
      <c r="I37" s="17"/>
      <c r="J37" s="17"/>
      <c r="K37" s="18" t="str">
        <f t="shared" si="0"/>
        <v/>
      </c>
      <c r="L37" s="18" t="str">
        <f>IF(B37="","",ROUND(K37*'Setup &amp; Guide'!$B$7,2))</f>
        <v/>
      </c>
      <c r="M37" s="18" t="str">
        <f t="shared" si="1"/>
        <v/>
      </c>
      <c r="N37" s="22" t="str">
        <f t="shared" si="2"/>
        <v/>
      </c>
      <c r="O37" s="25" t="str">
        <f t="shared" si="3"/>
        <v/>
      </c>
    </row>
    <row r="38" spans="1:15" ht="22" customHeight="1">
      <c r="A38" s="10"/>
      <c r="B38" s="10"/>
      <c r="C38" s="10"/>
      <c r="D38" s="10"/>
      <c r="E38" s="13"/>
      <c r="F38" s="13"/>
      <c r="G38" s="13"/>
      <c r="H38" s="13"/>
      <c r="I38" s="17"/>
      <c r="J38" s="17"/>
      <c r="K38" s="18" t="str">
        <f t="shared" ref="K38:K55" si="4">IF(B38="","",ROUND(G38*I38,2))</f>
        <v/>
      </c>
      <c r="L38" s="18" t="str">
        <f>IF(B38="","",ROUND(K38*'Setup &amp; Guide'!$B$7,2))</f>
        <v/>
      </c>
      <c r="M38" s="18" t="str">
        <f t="shared" ref="M38:M55" si="5">IF(B38="","",ROUND(K38-(G38*J38),2))</f>
        <v/>
      </c>
      <c r="N38" s="22" t="str">
        <f t="shared" ref="N38:N69" si="6">IF(B38="","",IFERROR(M38/K38,0))</f>
        <v/>
      </c>
      <c r="O38" s="25" t="str">
        <f t="shared" ref="O38:O55" si="7">IF(B38="","",E38+F38+H38-G38)</f>
        <v/>
      </c>
    </row>
    <row r="39" spans="1:15" ht="22" customHeight="1">
      <c r="A39" s="10"/>
      <c r="B39" s="10"/>
      <c r="C39" s="10"/>
      <c r="D39" s="10"/>
      <c r="E39" s="13"/>
      <c r="F39" s="13"/>
      <c r="G39" s="13"/>
      <c r="H39" s="13"/>
      <c r="I39" s="17"/>
      <c r="J39" s="17"/>
      <c r="K39" s="18" t="str">
        <f t="shared" si="4"/>
        <v/>
      </c>
      <c r="L39" s="18" t="str">
        <f>IF(B39="","",ROUND(K39*'Setup &amp; Guide'!$B$7,2))</f>
        <v/>
      </c>
      <c r="M39" s="18" t="str">
        <f t="shared" si="5"/>
        <v/>
      </c>
      <c r="N39" s="22" t="str">
        <f t="shared" si="6"/>
        <v/>
      </c>
      <c r="O39" s="25" t="str">
        <f t="shared" si="7"/>
        <v/>
      </c>
    </row>
    <row r="40" spans="1:15" ht="22" customHeight="1">
      <c r="A40" s="10"/>
      <c r="B40" s="10"/>
      <c r="C40" s="10"/>
      <c r="D40" s="10"/>
      <c r="E40" s="13"/>
      <c r="F40" s="13"/>
      <c r="G40" s="13"/>
      <c r="H40" s="13"/>
      <c r="I40" s="17"/>
      <c r="J40" s="17"/>
      <c r="K40" s="18" t="str">
        <f t="shared" si="4"/>
        <v/>
      </c>
      <c r="L40" s="18" t="str">
        <f>IF(B40="","",ROUND(K40*'Setup &amp; Guide'!$B$7,2))</f>
        <v/>
      </c>
      <c r="M40" s="18" t="str">
        <f t="shared" si="5"/>
        <v/>
      </c>
      <c r="N40" s="22" t="str">
        <f t="shared" si="6"/>
        <v/>
      </c>
      <c r="O40" s="25" t="str">
        <f t="shared" si="7"/>
        <v/>
      </c>
    </row>
    <row r="41" spans="1:15" ht="22" customHeight="1">
      <c r="A41" s="10"/>
      <c r="B41" s="10"/>
      <c r="C41" s="10"/>
      <c r="D41" s="10"/>
      <c r="E41" s="13"/>
      <c r="F41" s="13"/>
      <c r="G41" s="13"/>
      <c r="H41" s="13"/>
      <c r="I41" s="17"/>
      <c r="J41" s="17"/>
      <c r="K41" s="18" t="str">
        <f t="shared" si="4"/>
        <v/>
      </c>
      <c r="L41" s="18" t="str">
        <f>IF(B41="","",ROUND(K41*'Setup &amp; Guide'!$B$7,2))</f>
        <v/>
      </c>
      <c r="M41" s="18" t="str">
        <f t="shared" si="5"/>
        <v/>
      </c>
      <c r="N41" s="22" t="str">
        <f t="shared" si="6"/>
        <v/>
      </c>
      <c r="O41" s="25" t="str">
        <f t="shared" si="7"/>
        <v/>
      </c>
    </row>
    <row r="42" spans="1:15" ht="22" customHeight="1">
      <c r="A42" s="10"/>
      <c r="B42" s="10"/>
      <c r="C42" s="10"/>
      <c r="D42" s="10"/>
      <c r="E42" s="13"/>
      <c r="F42" s="13"/>
      <c r="G42" s="13"/>
      <c r="H42" s="13"/>
      <c r="I42" s="17"/>
      <c r="J42" s="17"/>
      <c r="K42" s="18" t="str">
        <f t="shared" si="4"/>
        <v/>
      </c>
      <c r="L42" s="18" t="str">
        <f>IF(B42="","",ROUND(K42*'Setup &amp; Guide'!$B$7,2))</f>
        <v/>
      </c>
      <c r="M42" s="18" t="str">
        <f t="shared" si="5"/>
        <v/>
      </c>
      <c r="N42" s="22" t="str">
        <f t="shared" si="6"/>
        <v/>
      </c>
      <c r="O42" s="25" t="str">
        <f t="shared" si="7"/>
        <v/>
      </c>
    </row>
    <row r="43" spans="1:15" ht="22" customHeight="1">
      <c r="A43" s="10"/>
      <c r="B43" s="10"/>
      <c r="C43" s="10"/>
      <c r="D43" s="10"/>
      <c r="E43" s="13"/>
      <c r="F43" s="13"/>
      <c r="G43" s="13"/>
      <c r="H43" s="13"/>
      <c r="I43" s="17"/>
      <c r="J43" s="17"/>
      <c r="K43" s="18" t="str">
        <f t="shared" si="4"/>
        <v/>
      </c>
      <c r="L43" s="18" t="str">
        <f>IF(B43="","",ROUND(K43*'Setup &amp; Guide'!$B$7,2))</f>
        <v/>
      </c>
      <c r="M43" s="18" t="str">
        <f t="shared" si="5"/>
        <v/>
      </c>
      <c r="N43" s="22" t="str">
        <f t="shared" si="6"/>
        <v/>
      </c>
      <c r="O43" s="25" t="str">
        <f t="shared" si="7"/>
        <v/>
      </c>
    </row>
    <row r="44" spans="1:15" ht="22" customHeight="1">
      <c r="A44" s="10"/>
      <c r="B44" s="10"/>
      <c r="C44" s="10"/>
      <c r="D44" s="10"/>
      <c r="E44" s="13"/>
      <c r="F44" s="13"/>
      <c r="G44" s="13"/>
      <c r="H44" s="13"/>
      <c r="I44" s="17"/>
      <c r="J44" s="17"/>
      <c r="K44" s="18" t="str">
        <f t="shared" si="4"/>
        <v/>
      </c>
      <c r="L44" s="18" t="str">
        <f>IF(B44="","",ROUND(K44*'Setup &amp; Guide'!$B$7,2))</f>
        <v/>
      </c>
      <c r="M44" s="18" t="str">
        <f t="shared" si="5"/>
        <v/>
      </c>
      <c r="N44" s="22" t="str">
        <f t="shared" si="6"/>
        <v/>
      </c>
      <c r="O44" s="25" t="str">
        <f t="shared" si="7"/>
        <v/>
      </c>
    </row>
    <row r="45" spans="1:15" ht="22" customHeight="1">
      <c r="A45" s="10"/>
      <c r="B45" s="10"/>
      <c r="C45" s="10"/>
      <c r="D45" s="10"/>
      <c r="E45" s="13"/>
      <c r="F45" s="13"/>
      <c r="G45" s="13"/>
      <c r="H45" s="13"/>
      <c r="I45" s="17"/>
      <c r="J45" s="17"/>
      <c r="K45" s="18" t="str">
        <f t="shared" si="4"/>
        <v/>
      </c>
      <c r="L45" s="18" t="str">
        <f>IF(B45="","",ROUND(K45*'Setup &amp; Guide'!$B$7,2))</f>
        <v/>
      </c>
      <c r="M45" s="18" t="str">
        <f t="shared" si="5"/>
        <v/>
      </c>
      <c r="N45" s="22" t="str">
        <f t="shared" si="6"/>
        <v/>
      </c>
      <c r="O45" s="25" t="str">
        <f t="shared" si="7"/>
        <v/>
      </c>
    </row>
    <row r="46" spans="1:15" ht="22" customHeight="1">
      <c r="A46" s="10"/>
      <c r="B46" s="10"/>
      <c r="C46" s="10"/>
      <c r="D46" s="10"/>
      <c r="E46" s="13"/>
      <c r="F46" s="13"/>
      <c r="G46" s="13"/>
      <c r="H46" s="13"/>
      <c r="I46" s="17"/>
      <c r="J46" s="17"/>
      <c r="K46" s="18" t="str">
        <f t="shared" si="4"/>
        <v/>
      </c>
      <c r="L46" s="18" t="str">
        <f>IF(B46="","",ROUND(K46*'Setup &amp; Guide'!$B$7,2))</f>
        <v/>
      </c>
      <c r="M46" s="18" t="str">
        <f t="shared" si="5"/>
        <v/>
      </c>
      <c r="N46" s="22" t="str">
        <f t="shared" si="6"/>
        <v/>
      </c>
      <c r="O46" s="25" t="str">
        <f t="shared" si="7"/>
        <v/>
      </c>
    </row>
    <row r="47" spans="1:15" ht="22" customHeight="1">
      <c r="A47" s="10"/>
      <c r="B47" s="10"/>
      <c r="C47" s="10"/>
      <c r="D47" s="10"/>
      <c r="E47" s="13"/>
      <c r="F47" s="13"/>
      <c r="G47" s="13"/>
      <c r="H47" s="13"/>
      <c r="I47" s="17"/>
      <c r="J47" s="17"/>
      <c r="K47" s="18" t="str">
        <f t="shared" si="4"/>
        <v/>
      </c>
      <c r="L47" s="18" t="str">
        <f>IF(B47="","",ROUND(K47*'Setup &amp; Guide'!$B$7,2))</f>
        <v/>
      </c>
      <c r="M47" s="18" t="str">
        <f t="shared" si="5"/>
        <v/>
      </c>
      <c r="N47" s="22" t="str">
        <f t="shared" si="6"/>
        <v/>
      </c>
      <c r="O47" s="25" t="str">
        <f t="shared" si="7"/>
        <v/>
      </c>
    </row>
    <row r="48" spans="1:15" ht="22" customHeight="1">
      <c r="A48" s="10"/>
      <c r="B48" s="10"/>
      <c r="C48" s="10"/>
      <c r="D48" s="10"/>
      <c r="E48" s="13"/>
      <c r="F48" s="13"/>
      <c r="G48" s="13"/>
      <c r="H48" s="13"/>
      <c r="I48" s="17"/>
      <c r="J48" s="17"/>
      <c r="K48" s="18" t="str">
        <f t="shared" si="4"/>
        <v/>
      </c>
      <c r="L48" s="18" t="str">
        <f>IF(B48="","",ROUND(K48*'Setup &amp; Guide'!$B$7,2))</f>
        <v/>
      </c>
      <c r="M48" s="18" t="str">
        <f t="shared" si="5"/>
        <v/>
      </c>
      <c r="N48" s="22" t="str">
        <f t="shared" si="6"/>
        <v/>
      </c>
      <c r="O48" s="25" t="str">
        <f t="shared" si="7"/>
        <v/>
      </c>
    </row>
    <row r="49" spans="1:15" ht="22" customHeight="1">
      <c r="A49" s="10"/>
      <c r="B49" s="10"/>
      <c r="C49" s="10"/>
      <c r="D49" s="10"/>
      <c r="E49" s="13"/>
      <c r="F49" s="13"/>
      <c r="G49" s="13"/>
      <c r="H49" s="13"/>
      <c r="I49" s="17"/>
      <c r="J49" s="17"/>
      <c r="K49" s="18" t="str">
        <f t="shared" si="4"/>
        <v/>
      </c>
      <c r="L49" s="18" t="str">
        <f>IF(B49="","",ROUND(K49*'Setup &amp; Guide'!$B$7,2))</f>
        <v/>
      </c>
      <c r="M49" s="18" t="str">
        <f t="shared" si="5"/>
        <v/>
      </c>
      <c r="N49" s="22" t="str">
        <f t="shared" si="6"/>
        <v/>
      </c>
      <c r="O49" s="25" t="str">
        <f t="shared" si="7"/>
        <v/>
      </c>
    </row>
    <row r="50" spans="1:15" ht="22" customHeight="1">
      <c r="A50" s="10"/>
      <c r="B50" s="10"/>
      <c r="C50" s="10"/>
      <c r="D50" s="10"/>
      <c r="E50" s="13"/>
      <c r="F50" s="13"/>
      <c r="G50" s="13"/>
      <c r="H50" s="13"/>
      <c r="I50" s="17"/>
      <c r="J50" s="17"/>
      <c r="K50" s="18" t="str">
        <f t="shared" si="4"/>
        <v/>
      </c>
      <c r="L50" s="18" t="str">
        <f>IF(B50="","",ROUND(K50*'Setup &amp; Guide'!$B$7,2))</f>
        <v/>
      </c>
      <c r="M50" s="18" t="str">
        <f t="shared" si="5"/>
        <v/>
      </c>
      <c r="N50" s="22" t="str">
        <f t="shared" si="6"/>
        <v/>
      </c>
      <c r="O50" s="25" t="str">
        <f t="shared" si="7"/>
        <v/>
      </c>
    </row>
    <row r="51" spans="1:15" ht="22" customHeight="1">
      <c r="A51" s="10"/>
      <c r="B51" s="10"/>
      <c r="C51" s="10"/>
      <c r="D51" s="10"/>
      <c r="E51" s="13"/>
      <c r="F51" s="13"/>
      <c r="G51" s="13"/>
      <c r="H51" s="13"/>
      <c r="I51" s="17"/>
      <c r="J51" s="17"/>
      <c r="K51" s="18" t="str">
        <f t="shared" si="4"/>
        <v/>
      </c>
      <c r="L51" s="18" t="str">
        <f>IF(B51="","",ROUND(K51*'Setup &amp; Guide'!$B$7,2))</f>
        <v/>
      </c>
      <c r="M51" s="18" t="str">
        <f t="shared" si="5"/>
        <v/>
      </c>
      <c r="N51" s="22" t="str">
        <f t="shared" si="6"/>
        <v/>
      </c>
      <c r="O51" s="25" t="str">
        <f t="shared" si="7"/>
        <v/>
      </c>
    </row>
    <row r="52" spans="1:15" ht="22" customHeight="1">
      <c r="A52" s="10"/>
      <c r="B52" s="10"/>
      <c r="C52" s="10"/>
      <c r="D52" s="10"/>
      <c r="E52" s="13"/>
      <c r="F52" s="13"/>
      <c r="G52" s="13"/>
      <c r="H52" s="13"/>
      <c r="I52" s="17"/>
      <c r="J52" s="17"/>
      <c r="K52" s="18" t="str">
        <f t="shared" si="4"/>
        <v/>
      </c>
      <c r="L52" s="18" t="str">
        <f>IF(B52="","",ROUND(K52*'Setup &amp; Guide'!$B$7,2))</f>
        <v/>
      </c>
      <c r="M52" s="18" t="str">
        <f t="shared" si="5"/>
        <v/>
      </c>
      <c r="N52" s="22" t="str">
        <f t="shared" si="6"/>
        <v/>
      </c>
      <c r="O52" s="25" t="str">
        <f t="shared" si="7"/>
        <v/>
      </c>
    </row>
    <row r="53" spans="1:15" ht="22" customHeight="1">
      <c r="A53" s="10"/>
      <c r="B53" s="10"/>
      <c r="C53" s="10"/>
      <c r="D53" s="10"/>
      <c r="E53" s="13"/>
      <c r="F53" s="13"/>
      <c r="G53" s="13"/>
      <c r="H53" s="13"/>
      <c r="I53" s="17"/>
      <c r="J53" s="17"/>
      <c r="K53" s="18" t="str">
        <f t="shared" si="4"/>
        <v/>
      </c>
      <c r="L53" s="18" t="str">
        <f>IF(B53="","",ROUND(K53*'Setup &amp; Guide'!$B$7,2))</f>
        <v/>
      </c>
      <c r="M53" s="18" t="str">
        <f t="shared" si="5"/>
        <v/>
      </c>
      <c r="N53" s="22" t="str">
        <f t="shared" si="6"/>
        <v/>
      </c>
      <c r="O53" s="25" t="str">
        <f t="shared" si="7"/>
        <v/>
      </c>
    </row>
    <row r="54" spans="1:15" ht="22" customHeight="1">
      <c r="A54" s="10"/>
      <c r="B54" s="10"/>
      <c r="C54" s="10"/>
      <c r="D54" s="10"/>
      <c r="E54" s="13"/>
      <c r="F54" s="13"/>
      <c r="G54" s="13"/>
      <c r="H54" s="13"/>
      <c r="I54" s="17"/>
      <c r="J54" s="17"/>
      <c r="K54" s="18" t="str">
        <f t="shared" si="4"/>
        <v/>
      </c>
      <c r="L54" s="18" t="str">
        <f>IF(B54="","",ROUND(K54*'Setup &amp; Guide'!$B$7,2))</f>
        <v/>
      </c>
      <c r="M54" s="18" t="str">
        <f t="shared" si="5"/>
        <v/>
      </c>
      <c r="N54" s="22" t="str">
        <f t="shared" si="6"/>
        <v/>
      </c>
      <c r="O54" s="25" t="str">
        <f t="shared" si="7"/>
        <v/>
      </c>
    </row>
    <row r="55" spans="1:15" ht="22" customHeight="1">
      <c r="A55" s="11"/>
      <c r="B55" s="11"/>
      <c r="C55" s="11"/>
      <c r="D55" s="11"/>
      <c r="E55" s="14"/>
      <c r="F55" s="14"/>
      <c r="G55" s="14"/>
      <c r="H55" s="14"/>
      <c r="I55" s="19"/>
      <c r="J55" s="19"/>
      <c r="K55" s="20" t="str">
        <f t="shared" si="4"/>
        <v/>
      </c>
      <c r="L55" s="20" t="str">
        <f>IF(B55="","",ROUND(K55*'Setup &amp; Guide'!$B$7,2))</f>
        <v/>
      </c>
      <c r="M55" s="20" t="str">
        <f t="shared" si="5"/>
        <v/>
      </c>
      <c r="N55" s="23" t="str">
        <f t="shared" si="6"/>
        <v/>
      </c>
      <c r="O55" s="26" t="str">
        <f t="shared" si="7"/>
        <v/>
      </c>
    </row>
  </sheetData>
  <mergeCells count="4">
    <mergeCell ref="A1:O1"/>
    <mergeCell ref="A2:O2"/>
    <mergeCell ref="A4:J4"/>
    <mergeCell ref="K4:O4"/>
  </mergeCells>
  <conditionalFormatting sqref="N6:N55">
    <cfRule type="colorScale" priority="1">
      <colorScale>
        <cfvo type="min"/>
        <cfvo type="percentile" val="50"/>
        <cfvo type="max"/>
        <color rgb="FFFEE2E2"/>
        <color rgb="FFFFF6DA"/>
        <color rgb="FFDDF5E8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topLeftCell="A20" workbookViewId="0">
      <selection activeCell="B14" sqref="B14"/>
    </sheetView>
  </sheetViews>
  <sheetFormatPr defaultRowHeight="14"/>
  <cols>
    <col min="1" max="1" width="25" customWidth="1"/>
    <col min="2" max="2" width="27" customWidth="1"/>
    <col min="3" max="3" width="13" customWidth="1"/>
    <col min="4" max="4" width="48" customWidth="1"/>
    <col min="5" max="8" width="12" customWidth="1"/>
  </cols>
  <sheetData>
    <row r="1" spans="1:8" ht="32" customHeight="1">
      <c r="A1" s="78" t="s">
        <v>43</v>
      </c>
      <c r="B1" s="78"/>
      <c r="C1" s="78"/>
      <c r="D1" s="78"/>
      <c r="E1" s="78"/>
      <c r="F1" s="78"/>
      <c r="G1" s="78"/>
      <c r="H1" s="78"/>
    </row>
    <row r="3" spans="1:8" ht="24" customHeight="1">
      <c r="A3" s="1" t="s">
        <v>44</v>
      </c>
      <c r="B3" s="79" t="s">
        <v>45</v>
      </c>
      <c r="C3" s="80"/>
      <c r="D3" s="80"/>
      <c r="E3" s="80"/>
      <c r="F3" s="80"/>
      <c r="G3" s="80"/>
      <c r="H3" s="81"/>
    </row>
    <row r="4" spans="1:8" ht="24" customHeight="1">
      <c r="A4" s="1" t="s">
        <v>46</v>
      </c>
      <c r="B4" s="82" t="s">
        <v>47</v>
      </c>
      <c r="C4" s="83"/>
      <c r="D4" s="83"/>
      <c r="E4" s="83"/>
      <c r="F4" s="83"/>
      <c r="G4" s="83"/>
      <c r="H4" s="84"/>
    </row>
    <row r="5" spans="1:8" ht="24" customHeight="1">
      <c r="A5" s="1" t="s">
        <v>48</v>
      </c>
      <c r="B5" s="82" t="s">
        <v>49</v>
      </c>
      <c r="C5" s="83"/>
      <c r="D5" s="83"/>
      <c r="E5" s="83"/>
      <c r="F5" s="83"/>
      <c r="G5" s="83"/>
      <c r="H5" s="84"/>
    </row>
    <row r="6" spans="1:8" ht="24" customHeight="1">
      <c r="A6" s="1" t="s">
        <v>50</v>
      </c>
      <c r="B6" s="85">
        <v>46235</v>
      </c>
      <c r="C6" s="83"/>
      <c r="D6" s="83"/>
      <c r="E6" s="83"/>
      <c r="F6" s="83"/>
      <c r="G6" s="83"/>
      <c r="H6" s="84"/>
    </row>
    <row r="7" spans="1:8" ht="24" customHeight="1">
      <c r="A7" s="1" t="s">
        <v>51</v>
      </c>
      <c r="B7" s="86">
        <v>0.15</v>
      </c>
      <c r="C7" s="83"/>
      <c r="D7" s="83"/>
      <c r="E7" s="83"/>
      <c r="F7" s="83"/>
      <c r="G7" s="83"/>
      <c r="H7" s="84"/>
    </row>
    <row r="8" spans="1:8" ht="24" customHeight="1">
      <c r="A8" s="1" t="s">
        <v>52</v>
      </c>
      <c r="B8" s="87">
        <v>123187.3</v>
      </c>
      <c r="C8" s="83"/>
      <c r="D8" s="83"/>
      <c r="E8" s="83"/>
      <c r="F8" s="83"/>
      <c r="G8" s="83"/>
      <c r="H8" s="84"/>
    </row>
    <row r="9" spans="1:8" ht="24" customHeight="1">
      <c r="A9" s="1" t="s">
        <v>53</v>
      </c>
      <c r="B9" s="88" t="s">
        <v>54</v>
      </c>
      <c r="C9" s="89"/>
      <c r="D9" s="89"/>
      <c r="E9" s="89"/>
      <c r="F9" s="89"/>
      <c r="G9" s="89"/>
      <c r="H9" s="90"/>
    </row>
    <row r="11" spans="1:8" ht="26" customHeight="1">
      <c r="A11" s="72" t="s">
        <v>55</v>
      </c>
      <c r="B11" s="72"/>
      <c r="C11" s="72"/>
      <c r="D11" s="72"/>
      <c r="E11" s="72"/>
      <c r="F11" s="72"/>
      <c r="G11" s="72"/>
      <c r="H11" s="72"/>
    </row>
    <row r="12" spans="1:8">
      <c r="A12" s="2" t="s">
        <v>56</v>
      </c>
      <c r="B12" s="2" t="s">
        <v>57</v>
      </c>
      <c r="C12" s="2" t="s">
        <v>58</v>
      </c>
      <c r="D12" s="2" t="s">
        <v>59</v>
      </c>
    </row>
    <row r="13" spans="1:8">
      <c r="A13" s="3" t="s">
        <v>60</v>
      </c>
      <c r="B13" s="3" t="s">
        <v>61</v>
      </c>
      <c r="C13" s="3" t="s">
        <v>62</v>
      </c>
      <c r="D13" s="3" t="s">
        <v>63</v>
      </c>
    </row>
    <row r="14" spans="1:8">
      <c r="A14" s="4" t="s">
        <v>64</v>
      </c>
      <c r="B14" s="4" t="s">
        <v>65</v>
      </c>
      <c r="C14" s="4" t="s">
        <v>66</v>
      </c>
      <c r="D14" s="4" t="s">
        <v>67</v>
      </c>
    </row>
    <row r="15" spans="1:8">
      <c r="A15" s="4" t="s">
        <v>68</v>
      </c>
      <c r="B15" s="4" t="s">
        <v>69</v>
      </c>
      <c r="C15" s="4" t="s">
        <v>66</v>
      </c>
      <c r="D15" s="4" t="s">
        <v>70</v>
      </c>
    </row>
    <row r="16" spans="1:8">
      <c r="A16" s="4" t="s">
        <v>71</v>
      </c>
      <c r="B16" s="4" t="s">
        <v>72</v>
      </c>
      <c r="C16" s="4" t="s">
        <v>62</v>
      </c>
      <c r="D16" s="4" t="s">
        <v>73</v>
      </c>
    </row>
    <row r="17" spans="1:8">
      <c r="A17" s="4" t="s">
        <v>74</v>
      </c>
      <c r="B17" s="4" t="s">
        <v>75</v>
      </c>
      <c r="C17" s="4" t="s">
        <v>62</v>
      </c>
      <c r="D17" s="4" t="s">
        <v>76</v>
      </c>
    </row>
    <row r="18" spans="1:8">
      <c r="A18" s="4" t="s">
        <v>77</v>
      </c>
      <c r="B18" s="4" t="s">
        <v>78</v>
      </c>
      <c r="C18" s="4" t="s">
        <v>66</v>
      </c>
      <c r="D18" s="4" t="s">
        <v>79</v>
      </c>
    </row>
    <row r="19" spans="1:8">
      <c r="A19" s="4" t="s">
        <v>80</v>
      </c>
      <c r="B19" s="4" t="s">
        <v>81</v>
      </c>
      <c r="C19" s="4" t="s">
        <v>66</v>
      </c>
      <c r="D19" s="4" t="s">
        <v>82</v>
      </c>
    </row>
    <row r="20" spans="1:8">
      <c r="A20" s="4" t="s">
        <v>83</v>
      </c>
      <c r="B20" s="4" t="s">
        <v>84</v>
      </c>
      <c r="C20" s="4" t="s">
        <v>62</v>
      </c>
      <c r="D20" s="4" t="s">
        <v>85</v>
      </c>
    </row>
    <row r="21" spans="1:8">
      <c r="A21" s="4" t="s">
        <v>86</v>
      </c>
      <c r="B21" s="4" t="s">
        <v>87</v>
      </c>
      <c r="C21" s="4" t="s">
        <v>66</v>
      </c>
      <c r="D21" s="4" t="s">
        <v>88</v>
      </c>
    </row>
    <row r="22" spans="1:8">
      <c r="A22" s="4" t="s">
        <v>89</v>
      </c>
      <c r="B22" s="4" t="s">
        <v>90</v>
      </c>
      <c r="C22" s="4" t="s">
        <v>66</v>
      </c>
      <c r="D22" s="4" t="s">
        <v>91</v>
      </c>
    </row>
    <row r="23" spans="1:8">
      <c r="A23" s="4" t="s">
        <v>92</v>
      </c>
      <c r="B23" s="4" t="s">
        <v>93</v>
      </c>
      <c r="C23" s="4" t="s">
        <v>66</v>
      </c>
      <c r="D23" s="4" t="s">
        <v>94</v>
      </c>
    </row>
    <row r="24" spans="1:8">
      <c r="A24" s="4" t="s">
        <v>95</v>
      </c>
      <c r="B24" s="4" t="s">
        <v>96</v>
      </c>
      <c r="C24" s="4" t="s">
        <v>66</v>
      </c>
      <c r="D24" s="4" t="s">
        <v>97</v>
      </c>
    </row>
    <row r="25" spans="1:8">
      <c r="A25" s="4" t="s">
        <v>98</v>
      </c>
      <c r="B25" s="4" t="s">
        <v>99</v>
      </c>
      <c r="C25" s="4" t="s">
        <v>62</v>
      </c>
      <c r="D25" s="4" t="s">
        <v>100</v>
      </c>
    </row>
    <row r="26" spans="1:8">
      <c r="A26" s="4" t="s">
        <v>101</v>
      </c>
      <c r="B26" s="4" t="s">
        <v>102</v>
      </c>
      <c r="C26" s="4" t="s">
        <v>66</v>
      </c>
      <c r="D26" s="4" t="s">
        <v>103</v>
      </c>
    </row>
    <row r="27" spans="1:8">
      <c r="A27" s="5" t="s">
        <v>104</v>
      </c>
      <c r="B27" s="5" t="s">
        <v>105</v>
      </c>
      <c r="C27" s="5" t="s">
        <v>62</v>
      </c>
      <c r="D27" s="5" t="s">
        <v>106</v>
      </c>
    </row>
    <row r="29" spans="1:8" ht="42" customHeight="1">
      <c r="A29" s="91" t="s">
        <v>107</v>
      </c>
      <c r="B29" s="91"/>
      <c r="C29" s="91"/>
      <c r="D29" s="91"/>
      <c r="E29" s="91"/>
      <c r="F29" s="91"/>
      <c r="G29" s="91"/>
      <c r="H29" s="91"/>
    </row>
  </sheetData>
  <mergeCells count="10">
    <mergeCell ref="B7:H7"/>
    <mergeCell ref="B8:H8"/>
    <mergeCell ref="B9:H9"/>
    <mergeCell ref="A11:H11"/>
    <mergeCell ref="A29:H29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tabSelected="1" workbookViewId="0">
      <selection activeCell="D10" sqref="D10"/>
    </sheetView>
  </sheetViews>
  <sheetFormatPr defaultRowHeight="14"/>
  <cols>
    <col min="1" max="1" width="30" customWidth="1"/>
    <col min="2" max="2" width="14" customWidth="1"/>
    <col min="3" max="3" width="18" customWidth="1"/>
    <col min="4" max="4" width="52" customWidth="1"/>
  </cols>
  <sheetData>
    <row r="1" spans="1:4" ht="32" customHeight="1">
      <c r="A1" s="74" t="s">
        <v>108</v>
      </c>
      <c r="B1" s="74"/>
      <c r="C1" s="74"/>
      <c r="D1" s="74"/>
    </row>
    <row r="3" spans="1:4" ht="18">
      <c r="A3" s="53" t="s">
        <v>109</v>
      </c>
      <c r="B3" s="53" t="str">
        <f>IF(COUNTIF(B6:B10,"FAIL")=0,"PASS","REVIEW")</f>
        <v>PASS</v>
      </c>
    </row>
    <row r="5" spans="1:4">
      <c r="A5" s="2" t="s">
        <v>110</v>
      </c>
      <c r="B5" s="2" t="s">
        <v>111</v>
      </c>
      <c r="C5" s="2" t="s">
        <v>112</v>
      </c>
      <c r="D5" s="2" t="s">
        <v>113</v>
      </c>
    </row>
    <row r="6" spans="1:4" ht="26" customHeight="1">
      <c r="A6" s="3" t="s">
        <v>114</v>
      </c>
      <c r="B6" s="3" t="str">
        <f>IF(ABS(C6)&lt;0.01,"PASS","FAIL")</f>
        <v>PASS</v>
      </c>
      <c r="C6" s="54">
        <f>'Financial Report'!$A$6-SUM('System Data'!$K$6:$K$55)</f>
        <v>0</v>
      </c>
      <c r="D6" s="3" t="s">
        <v>115</v>
      </c>
    </row>
    <row r="7" spans="1:4" ht="26" customHeight="1">
      <c r="A7" s="4" t="s">
        <v>116</v>
      </c>
      <c r="B7" s="4" t="str">
        <f>IF(ABS(C7)&lt;0.01,"PASS","FAIL")</f>
        <v>PASS</v>
      </c>
      <c r="C7" s="55">
        <f>'Financial Report'!$C$6-SUM('System Data'!$L$6:$L$55)</f>
        <v>0</v>
      </c>
      <c r="D7" s="4" t="s">
        <v>117</v>
      </c>
    </row>
    <row r="8" spans="1:4" ht="26" customHeight="1">
      <c r="A8" s="4" t="s">
        <v>118</v>
      </c>
      <c r="B8" s="4" t="str">
        <f>IF(ABS(C8)&lt;0.01,"PASS","FAIL")</f>
        <v>PASS</v>
      </c>
      <c r="C8" s="55">
        <f>'Financial Report'!$E$6-IFERROR(SUM('System Data'!$M$6:$M$55)/SUM('System Data'!$K$6:$K$55),0)</f>
        <v>0</v>
      </c>
      <c r="D8" s="4" t="s">
        <v>119</v>
      </c>
    </row>
    <row r="9" spans="1:4" ht="26" customHeight="1">
      <c r="A9" s="4" t="s">
        <v>120</v>
      </c>
      <c r="B9" s="4" t="str">
        <f>IF(C9=0,"PASS","FAIL")</f>
        <v>PASS</v>
      </c>
      <c r="C9" s="56">
        <f>COUNTIF('System Data'!$O$6:$O$55,"&lt;0")</f>
        <v>0</v>
      </c>
      <c r="D9" s="4" t="s">
        <v>121</v>
      </c>
    </row>
    <row r="10" spans="1:4" ht="26" customHeight="1">
      <c r="A10" s="5" t="s">
        <v>122</v>
      </c>
      <c r="B10" s="5" t="str">
        <f>IF(C10=0,"PASS","FAIL")</f>
        <v>PASS</v>
      </c>
      <c r="C10" s="57">
        <f>COUNTIFS('System Data'!$G$6:$G$55,"&gt;0",'System Data'!$B$6:$B$55,"")</f>
        <v>0</v>
      </c>
      <c r="D10" s="5" t="s">
        <v>123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Report</vt:lpstr>
      <vt:lpstr>System Data</vt:lpstr>
      <vt:lpstr>Setup &amp; Guide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Thulane Segane</cp:lastModifiedBy>
  <dcterms:modified xsi:type="dcterms:W3CDTF">2026-09-01T16:27:07Z</dcterms:modified>
</cp:coreProperties>
</file>